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A4F9B9A0-0101-44CA-B34C-7376DE4A0750}" xr6:coauthVersionLast="47" xr6:coauthVersionMax="47" xr10:uidLastSave="{00000000-0000-0000-0000-000000000000}"/>
  <bookViews>
    <workbookView xWindow="4680" yWindow="720" windowWidth="25800" windowHeight="20880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<sst xmlns="http://schemas.openxmlformats.org/spreadsheetml/2006/main" count="896" uniqueCount="718">
  <si>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</si>
  <si>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</si>
  <si>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</si>
  <si>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</si>
  <si>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</si>
  <si>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</si>
  <si>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</si>
  <si>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</si>
  <si>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</si>
  <si>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</si>
  <si>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</si>
  <si>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</si>
  <si>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</si>
  <si>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</si>
  <si>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</si>
  <si>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</si>
  <si>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</si>
  <si>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</si>
  <si>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</si>
  <si>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</si>
  <si>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</si>
  <si>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</si>
  <si>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</si>
  <si>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</si>
  <si>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</si>
  <si>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</si>
  <si>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</si>
  <si>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</si>
  <si>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</si>
  <si>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</si>
  <si>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</si>
  <si>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</si>
  <si>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</si>
  <si>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</si>
  <si>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</si>
  <si>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</si>
  <si>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</si>
  <si>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</si>
  <si>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</si>
  <si>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</si>
  <si>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</si>
  <si>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</si>
  <si>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</si>
  <si>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</si>
  <si>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</si>
  <si>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</si>
  <si>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</si>
  <si>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</si>
  <si>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</si>
  <si>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</si>
  <si>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</si>
  <si>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</si>
  <si>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</si>
  <si>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</si>
  <si>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</si>
  <si>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</si>
  <si>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</si>
  <si>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</si>
  <si>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</si>
  <si>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</si>
  <si>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</si>
  <si>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</si>
  <si>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</si>
  <si>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</si>
  <si>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</si>
  <si>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</si>
  <si>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</si>
  <si>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</si>
  <si>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</si>
  <si>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</si>
  <si>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</si>
  <si>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</si>
  <si>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</si>
  <si>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</si>
  <si>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</si>
  <si>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</si>
  <si>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</si>
  <si>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</si>
  <si>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</si>
  <si>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</si>
  <si>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</si>
  <si>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</si>
  <si>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</si>
  <si>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</si>
  <si>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</si>
  <si>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</si>
  <si>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</si>
  <si>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</si>
  <si>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</si>
  <si>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</si>
  <si>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</si>
  <si>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</si>
  <si>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</si>
  <si>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</si>
  <si>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</si>
  <si>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</si>
  <si>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</si>
  <si>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</si>
  <si>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</si>
  <si>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</si>
  <si>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</si>
  <si>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</si>
  <si>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</si>
  <si>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</si>
  <si>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</si>
  <si>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</si>
  <si>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</si>
  <si>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</si>
  <si>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</si>
  <si>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</si>
  <si>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</si>
  <si>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</si>
  <si>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</si>
  <si>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</si>
  <si>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</si>
  <si>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</si>
  <si>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</si>
  <si>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</si>
  <si>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</si>
  <si>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</si>
  <si>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</si>
  <si>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</si>
  <si>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</si>
  <si>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</si>
  <si>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</si>
  <si>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</si>
  <si>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</si>
  <si>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</si>
  <si>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</si>
  <si>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</si>
  <si>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</si>
  <si>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</si>
  <si>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</si>
  <si>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</si>
  <si>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</si>
  <si>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</si>
  <si>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</si>
  <si>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</si>
  <si>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</si>
  <si>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</si>
  <si>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</si>
  <si>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</si>
  <si>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</si>
  <si>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</si>
  <si>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</si>
  <si>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</si>
  <si>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</si>
  <si>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</si>
  <si>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</si>
  <si>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</si>
  <si>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</si>
  <si>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</si>
  <si>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</si>
  <si>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</si>
  <si>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</si>
  <si>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</si>
  <si>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</si>
  <si>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</si>
  <si>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</si>
  <si>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</si>
  <si>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</si>
  <si>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</si>
  <si>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</si>
  <si>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</si>
  <si>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</si>
  <si>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</si>
  <si>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</si>
  <si>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</si>
  <si>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</si>
  <si>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</si>
  <si>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</si>
  <si>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</si>
  <si>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</si>
  <si>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</si>
  <si>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</si>
  <si>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</si>
  <si>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</si>
  <si>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</si>
  <si>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</si>
  <si>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</si>
  <si>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</si>
  <si>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</si>
  <si>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</si>
  <si>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</si>
  <si>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</si>
  <si>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</si>
  <si>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</si>
  <si>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</si>
  <si>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</si>
  <si>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</si>
  <si>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</si>
  <si>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</si>
  <si>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</si>
  <si>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</si>
  <si>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</si>
  <si>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</si>
  <si>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</si>
  <si>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</si>
  <si>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</si>
  <si>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</si>
  <si>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</si>
  <si>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</si>
  <si>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</si>
  <si>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</si>
  <si>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</si>
  <si>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</si>
  <si>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</si>
  <si>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</si>
  <si>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</si>
  <si>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</si>
  <si>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</si>
  <si>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</si>
  <si>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</si>
  <si>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</si>
  <si>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</si>
  <si>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</si>
  <si>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</si>
  <si>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</si>
  <si>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</si>
  <si>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</si>
  <si>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</si>
  <si>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</si>
  <si>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</si>
  <si>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</si>
  <si>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</si>
  <si>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</si>
  <si>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</si>
  <si>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</si>
  <si>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</si>
  <si>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</si>
  <si>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</si>
  <si>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</si>
  <si>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</si>
  <si>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</si>
  <si>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</si>
  <si>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</si>
  <si>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</si>
  <si>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</si>
  <si>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</si>
  <si>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</si>
  <si>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</si>
  <si>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</si>
  <si>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</si>
  <si>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</si>
  <si>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</si>
  <si>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</si>
  <si>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</si>
  <si>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</si>
  <si>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</si>
  <si>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</si>
  <si>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</si>
  <si>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</si>
  <si>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</si>
  <si>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</si>
  <si>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</si>
  <si>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</si>
  <si>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</si>
  <si>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</si>
  <si>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</si>
  <si>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</si>
  <si>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</si>
  <si>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</si>
  <si>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</si>
  <si>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</si>
  <si>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</si>
  <si>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</si>
  <si>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</si>
  <si>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</si>
  <si>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</si>
  <si>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</si>
  <si>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</si>
  <si>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</si>
  <si>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</si>
  <si>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</si>
  <si>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</si>
  <si>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</si>
  <si>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</si>
  <si>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</si>
  <si>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</si>
  <si>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</si>
  <si>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</si>
  <si>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</si>
  <si>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</si>
  <si>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</si>
  <si>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</si>
  <si>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</si>
  <si>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</si>
  <si>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</si>
  <si>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</si>
  <si>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</si>
  <si>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</si>
  <si>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</si>
  <si>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</si>
  <si>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</si>
  <si>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</si>
  <si>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</si>
  <si>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</si>
  <si>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</si>
  <si>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</si>
  <si>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</si>
  <si>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</si>
  <si>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</si>
  <si>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</si>
  <si>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</si>
  <si>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</si>
  <si>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</si>
  <si>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</si>
  <si>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</si>
  <si>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</si>
  <si>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</si>
  <si>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</si>
  <si>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</si>
  <si>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</si>
  <si>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</si>
  <si>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</si>
  <si>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</si>
  <si>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</si>
  <si>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</si>
  <si>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</si>
  <si>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</si>
  <si>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</si>
  <si>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</si>
  <si>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</si>
  <si>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</si>
  <si>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</si>
  <si>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</si>
  <si>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</si>
  <si>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</si>
  <si>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</si>
  <si>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</si>
  <si>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</si>
  <si>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</si>
  <si>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</si>
  <si>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</si>
  <si>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</si>
  <si>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</si>
  <si>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</si>
  <si>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</si>
  <si>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</si>
  <si>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</si>
  <si>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</si>
  <si>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</si>
  <si>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</si>
  <si>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</si>
  <si>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</si>
  <si>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</si>
  <si>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</si>
  <si>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</si>
  <si>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</si>
  <si>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</si>
  <si>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</si>
  <si>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</si>
  <si>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</si>
  <si>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</si>
  <si>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</si>
  <si>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</si>
  <si>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</si>
  <si>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</si>
  <si>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</si>
  <si>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</si>
  <si>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</si>
  <si>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</si>
  <si>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</si>
  <si>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</si>
  <si>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</si>
  <si>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</si>
  <si>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</si>
  <si>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</si>
  <si>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</si>
  <si>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</si>
  <si>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</si>
  <si>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</si>
  <si>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</si>
  <si>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</si>
  <si>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</si>
  <si>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</si>
  <si>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</si>
  <si>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</si>
  <si>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</si>
  <si>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</si>
  <si>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</si>
  <si>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</si>
  <si>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</si>
  <si>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</si>
  <si>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</si>
  <si>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</si>
  <si>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</si>
  <si>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</si>
  <si>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</si>
  <si>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</si>
  <si>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</si>
  <si>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</si>
  <si>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</si>
  <si>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</si>
  <si>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</si>
  <si>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</si>
  <si>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</si>
  <si>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</si>
  <si>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</si>
  <si>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</si>
  <si>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</si>
  <si>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</si>
  <si>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</si>
  <si>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</si>
  <si>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</si>
  <si>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</si>
  <si>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</si>
  <si>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</si>
  <si>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</si>
  <si>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</si>
  <si>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</si>
  <si>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</si>
  <si>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</si>
  <si>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</si>
  <si>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</si>
  <si>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</si>
  <si>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</si>
  <si>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</si>
  <si>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</si>
  <si>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</si>
  <si>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</si>
  <si>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</si>
  <si>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</si>
  <si>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</si>
  <si>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</si>
  <si>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</si>
  <si>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</si>
  <si>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</si>
  <si>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</si>
  <si>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</si>
  <si>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</si>
  <si>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</si>
  <si>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</si>
  <si>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</si>
  <si>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</si>
  <si>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</si>
  <si>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</si>
  <si>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</si>
  <si>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</si>
  <si>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</si>
  <si>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</si>
  <si>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</si>
  <si>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</si>
  <si>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</si>
  <si>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</si>
  <si>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</si>
  <si>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Deleting a flock deletes its messages and memberships. Live connection records are removed on disconnect. Nothing else is deleted.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</si>
  <si>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</si>
  <si>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</si>
  <si>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</si>
  <si>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</si>
  <si>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</si>
  <si>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</si>
  <si>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</si>
  <si>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</si>
  <si>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</si>
  <si>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</si>
  <si>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</si>
  <si>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</si>
  <si>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</si>
  <si>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</si>
  <si>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</si>
  <si>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</si>
  <si>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</si>
  <si>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</si>
  <si>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</si>
  <si>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</si>
  <si>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</si>
  <si>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</si>
  <si>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</si>
  <si>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</si>
  <si>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</si>
  <si>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</si>
  <si>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</si>
  <si>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</si>
  <si>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</si>
  <si>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</si>
  <si>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</si>
  <si>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</si>
  <si>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</si>
  <si>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</si>
  <si>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</si>
  <si>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</si>
  <si>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</si>
  <si>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</si>
  <si>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</si>
  <si>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</si>
  <si>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</si>
  <si>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</si>
  <si>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</si>
  <si>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</si>
  <si>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</si>
  <si>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</si>
  <si>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</si>
  <si>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</si>
  <si>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</si>
  <si>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</si>
  <si>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</si>
  <si>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</si>
  <si>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</si>
  <si>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</si>
  <si>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</si>
  <si>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</si>
  <si>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</si>
  <si>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</si>
  <si>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</si>
  <si>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</si>
  <si>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</si>
  <si>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</si>
  <si>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</si>
  <si>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</si>
  <si>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</si>
  <si>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</si>
  <si>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</si>
  <si>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</si>
  <si>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</si>
  <si>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</si>
  <si>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</si>
  <si>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</si>
  <si>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</si>
  <si>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</si>
  <si>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</si>
  <si>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</si>
  <si>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</si>
  <si>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</si>
  <si>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</si>
  <si>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</si>
  <si>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</si>
  <si>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</si>
  <si>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</si>
  <si>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</si>
  <si>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</si>
  <si>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</si>
  <si>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</si>
  <si>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</si>
  <si>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</si>
  <si>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</si>
  <si>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</si>
  <si>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</si>
  <si>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</si>
  <si>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</si>
  <si>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</si>
  <si>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</si>
  <si>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</si>
  <si>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</si>
  <si>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</si>
  <si>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</si>
  <si>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</si>
  <si>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</si>
  <si>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</si>
  <si>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</si>
  <si>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</si>
  <si>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</si>
  <si>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addedAt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</si>
  <si>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</si>
  <si>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</si>
  <si>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</si>
  <si>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</si>
  <si>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</si>
  <si>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</si>
  <si>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</si>
  <si>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</si>
  <si>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</si>
  <si>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</si>
  <si>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</si>
  <si>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</si>
  <si>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</si>
  <si>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</si>
  <si>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</si>
  <si>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</si>
  <si>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</si>
  <si>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</si>
  <si>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</si>
  <si>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</si>
  <si>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</si>
  <si>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</si>
  <si>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</si>
  <si>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</si>
  <si>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</si>
  <si>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</si>
  <si>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</si>
  <si>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</si>
  <si>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</si>
  <si>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</si>
  <si>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</si>
  <si>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</si>
  <si>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</si>
  <si>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</si>
  <si>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</si>
  <si>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</si>
  <si>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</si>
  <si>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</si>
  <si>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</si>
  <si>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</si>
  <si>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</si>
  <si>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</si>
  <si>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</si>
  <si>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</si>
  <si>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</si>
  <si>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2,500 per second at peak</t>
  </si>
  <si>
    <t>AP-15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</si>
  <si>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</si>
  <si>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</si>
  <si>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</si>
  <si>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</si>
  <si>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</si>
  <si>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</si>
  <si>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</si>
  <si>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</si>
  <si>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</si>
  <si>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</si>
  <si>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</si>
  <si>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</si>
  <si>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</si>
  <si>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</si>
  <si>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</si>
  <si>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</si>
  <si>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</si>
  <si>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</si>
  <si>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</si>
  <si>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</si>
  <si>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</si>
  <si>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</si>
  <si>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</si>
  <si>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</si>
  <si>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</si>
  <si>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</si>
  <si>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</si>
  <si>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</si>
  <si>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</si>
  <si>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</si>
  <si>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</si>
  <si>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</si>
  <si>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</si>
  <si>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</si>
  <si>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</si>
  <si>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</si>
  <si>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</si>
  <si>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</si>
  <si>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</si>
  <si>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</si>
  <si>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</si>
  <si>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</si>
  <si>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</si>
  <si>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</si>
  <si>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</si>
  <si>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</si>
  <si>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</si>
  <si>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</si>
  <si>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</si>
  <si>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</si>
  <si>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</si>
  <si>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</si>
  <si>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</si>
  <si>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</si>
  <si>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</si>
  <si>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</si>
  <si>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</si>
  <si>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</si>
  <si>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</si>
  <si>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</si>
  <si>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</si>
  <si>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</si>
  <si>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</si>
  <si>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</si>
  <si>
    <t>User identity (Google subject, display name) is copied from the Google ID token at sign-in. Email is read from the token and not stored.</t>
  </si>
  <si>
    <t>Personal data: Google subject, display name. Message text is user content. Classified external; no explicit payment, health, or regulated data requested by product.</t>
  </si>
  <si>
    <t>Only Google subject and display name are held</t>
  </si>
  <si>
    <t>pondId, duckId, googleSubject, displayName (unique per pond), createdAt</t>
  </si>
  <si>
    <t>At scale: about $46,000 per month over 21.6 billion HTTP requests, from the cost table in docs/design/operational-design.md.</t>
  </si>
  <si>
    <t>Cost table in docs/design/operational-design.md: about $150 per month for the demo, about $46,000 per month at scale, times 12.</t>
  </si>
  <si>
    <t>AP-16</t>
  </si>
  <si>
    <t>List ducks in the pond</t>
  </si>
  <si>
    <t>One per add member: the client loads the list to pick the duck</t>
  </si>
  <si>
    <t>Sockets per websocket task</t>
  </si>
  <si>
    <t>Open WebSocket connections one task holds before scaling out.</t>
  </si>
  <si>
    <t>Assumption: memory bound, single-digit kilobytes per idle socket in Node. Verified by the Phase 3 load test. Cited by ADR-005.</t>
  </si>
  <si>
    <t>Public hostnames and DNS provider</t>
  </si>
  <si>
    <t>Subdomains of quack.ryt.dev; DNS-only CNAMEs in Cloudflare; no Route 53</t>
  </si>
  <si>
    <t>2026-09-12</t>
  </si>
  <si>
    <t>docs/adr/adr-001-hostnames-and-dns.md</t>
  </si>
  <si>
    <t>DL-02</t>
  </si>
  <si>
    <t>Compute</t>
  </si>
  <si>
    <t>ECS</t>
  </si>
  <si>
    <t>docs/adr/adr-002-compute.md</t>
  </si>
  <si>
    <t>DL-03</t>
  </si>
  <si>
    <t>ECS capacity provider</t>
  </si>
  <si>
    <t>Fargate</t>
  </si>
  <si>
    <t>docs/adr/adr-003-capacity-provider.md</t>
  </si>
  <si>
    <t>DL-04</t>
  </si>
  <si>
    <t>HTTP and WebSocket entry point</t>
  </si>
  <si>
    <t>One Application Load Balancer for both; no API Gateway</t>
  </si>
  <si>
    <t>docs/adr/adr-004-http-entry-point.md</t>
  </si>
  <si>
    <t>DL-05</t>
  </si>
  <si>
    <t>Fan-out between tasks</t>
  </si>
  <si>
    <t>Valkey pub/sub on ElastiCache</t>
  </si>
  <si>
    <t>docs/adr/adr-005-fan-out-between-tasks.md</t>
  </si>
  <si>
    <t>DL-06</t>
  </si>
  <si>
    <t>ID token verification</t>
  </si>
  <si>
    <t>In code for HTTP and WebSockets</t>
  </si>
  <si>
    <t>docs/adr/adr-006-token-verification.md</t>
  </si>
  <si>
    <t>DL-07</t>
  </si>
  <si>
    <t>Repository and stack layout</t>
  </si>
  <si>
    <t>Monorepo; one CDK stack per deployable; one ECS service per HTTP domain; no CloudFormation exports</t>
  </si>
  <si>
    <t>docs/adr/adr-007-stack-layout.md</t>
  </si>
  <si>
    <t>DL-08</t>
  </si>
  <si>
    <t>Cross-domain reads</t>
  </si>
  <si>
    <t>Direct read of another domain's records under a stated rule; no service-to-service calls in the MVP</t>
  </si>
  <si>
    <t>docs/adr/adr-008-cross-domain-reads.md</t>
  </si>
  <si>
    <t>The demo runs one month (Scoping Q40). $1,800 at demo load;</t>
  </si>
  <si>
    <t>docs/design/flows/wfl-01-sign-in.md</t>
  </si>
  <si>
    <t>docs/design/flows/wfl-02-create-flock.md</t>
  </si>
  <si>
    <t>docs/design/flows/wfl-03-list-flocks.md</t>
  </si>
  <si>
    <t>docs/design/flows/wfl-04-add-member.md</t>
  </si>
  <si>
    <t>docs/design/flows/wfl-05-send-message.md</t>
  </si>
  <si>
    <t>docs/design/flows/wfl-06-load-history.md</t>
  </si>
  <si>
    <t>docs/design/flows/wfl-07-connect-and-disconnect.md</t>
  </si>
  <si>
    <t>docs/design/flows/wfl-08-delete-flock.md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</si>
</sst>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7" fillId="0" borderId="1" xfId="2" applyNumberFormat="1" applyFont="1" applyFill="1" applyBorder="1" applyAlignment="1">
      <alignment horizontal="left" vertical="top" wrapText="1"/>
    </xf>
    <xf numFmtId="6" fontId="7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4" fillId="0" borderId="2" xfId="0" applyFont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1" xfId="0" applyFont="1" applyFill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tabSelected="1" workbookViewId="0">
      <pane ySplit="2" topLeftCell="A6" activePane="bottomLeft" state="frozen"/>
      <selection pane="bottomLeft" activeCell="D16" sqref="D16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7" t="s">
        <v>0</v>
      </c>
      <c r="B1" s="28"/>
      <c r="C1" s="27" t="s">
        <v>1</v>
      </c>
      <c r="D1" s="28"/>
      <c r="E1" s="27" t="s">
        <v>2</v>
      </c>
      <c r="F1" s="28"/>
    </row>
    <row r="2" spans="1:10" ht="20.100000000000001" customHeight="1" x14ac:dyDescent="0.25">
      <c r="A2" s="23">
        <v>46276</v>
      </c>
      <c r="B2" s="24"/>
      <c r="C2" s="30" t="s">
        <v>276</v>
      </c>
      <c r="D2" s="24"/>
      <c r="E2" s="23">
        <v>46276</v>
      </c>
      <c r="F2" s="24"/>
    </row>
    <row r="4" spans="1:10" x14ac:dyDescent="0.25">
      <c r="A4" s="21" t="s">
        <v>3</v>
      </c>
      <c r="B4" s="22"/>
      <c r="C4" s="22"/>
      <c r="D4" s="22"/>
      <c r="E4" s="22"/>
      <c r="F4" s="21" t="s">
        <v>4</v>
      </c>
      <c r="G4" s="22"/>
      <c r="H4" s="22"/>
      <c r="I4" s="22"/>
      <c r="J4" s="22"/>
    </row>
    <row r="5" spans="1:10" ht="18" customHeight="1" x14ac:dyDescent="0.25">
      <c r="A5" s="25" t="s">
        <v>5</v>
      </c>
      <c r="B5" s="26"/>
      <c r="C5" s="26"/>
      <c r="D5" s="26"/>
      <c r="E5" s="26"/>
      <c r="F5" s="25" t="s">
        <v>6</v>
      </c>
      <c r="G5" s="26"/>
      <c r="H5" s="26"/>
      <c r="I5" s="26"/>
      <c r="J5" s="26"/>
    </row>
    <row r="6" spans="1:10" ht="95.1" customHeight="1" x14ac:dyDescent="0.25">
      <c r="A6" s="29" t="s">
        <v>278</v>
      </c>
      <c r="B6" s="28"/>
      <c r="C6" s="28"/>
      <c r="D6" s="28"/>
      <c r="E6" s="28"/>
      <c r="F6" s="29" t="s">
        <v>277</v>
      </c>
      <c r="G6" s="28"/>
      <c r="H6" s="28"/>
      <c r="I6" s="28"/>
      <c r="J6" s="28"/>
    </row>
    <row r="8" spans="1:10" ht="20.100000000000001" customHeight="1" x14ac:dyDescent="0.25">
      <c r="A8" s="21" t="s">
        <v>7</v>
      </c>
      <c r="B8" s="22"/>
      <c r="C8" s="22"/>
      <c r="D8" s="22"/>
      <c r="E8" s="22"/>
    </row>
    <row r="9" spans="1:10" ht="18" customHeight="1" x14ac:dyDescent="0.25">
      <c r="A9" s="25" t="s">
        <v>8</v>
      </c>
      <c r="B9" s="26"/>
      <c r="C9" s="26"/>
      <c r="D9" s="26"/>
      <c r="E9" s="26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284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413</v>
      </c>
      <c r="C11" s="6" t="s">
        <v>286</v>
      </c>
      <c r="D11" s="6" t="s">
        <v>285</v>
      </c>
      <c r="E11" s="6"/>
    </row>
    <row r="12" spans="1:10" ht="20.100000000000001" customHeight="1" x14ac:dyDescent="0.25">
      <c r="A12" s="6" t="s">
        <v>279</v>
      </c>
      <c r="B12" s="6" t="s">
        <v>414</v>
      </c>
      <c r="C12" s="6" t="s">
        <v>287</v>
      </c>
      <c r="D12" s="6" t="s">
        <v>283</v>
      </c>
      <c r="E12" s="6"/>
    </row>
    <row r="13" spans="1:10" ht="20.100000000000001" customHeight="1" x14ac:dyDescent="0.25">
      <c r="A13" s="6" t="s">
        <v>280</v>
      </c>
      <c r="B13" s="6" t="s">
        <v>415</v>
      </c>
      <c r="C13" s="6" t="s">
        <v>288</v>
      </c>
      <c r="D13" s="6" t="s">
        <v>282</v>
      </c>
      <c r="E13" s="6"/>
    </row>
    <row r="14" spans="1:10" ht="20.100000000000001" customHeight="1" x14ac:dyDescent="0.25">
      <c r="A14" s="6" t="s">
        <v>281</v>
      </c>
      <c r="B14" s="6" t="s">
        <v>276</v>
      </c>
      <c r="C14" s="6" t="s">
        <v>289</v>
      </c>
      <c r="D14" s="6" t="s">
        <v>290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1" t="s">
        <v>14</v>
      </c>
      <c r="B18" s="22"/>
      <c r="C18" s="22"/>
      <c r="D18" s="22"/>
      <c r="E18" s="22"/>
      <c r="F18" s="22"/>
    </row>
    <row r="19" spans="1:6" ht="18" customHeight="1" x14ac:dyDescent="0.25">
      <c r="A19" s="25" t="s">
        <v>15</v>
      </c>
      <c r="B19" s="26"/>
      <c r="C19" s="26"/>
      <c r="D19" s="26"/>
      <c r="E19" s="26"/>
      <c r="F19" s="26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301</v>
      </c>
      <c r="C21" s="6" t="s">
        <v>302</v>
      </c>
      <c r="D21" s="6" t="s">
        <v>648</v>
      </c>
      <c r="E21" s="2"/>
    </row>
    <row r="22" spans="1:6" x14ac:dyDescent="0.25">
      <c r="A22" s="2" t="s">
        <v>292</v>
      </c>
      <c r="B22" s="6" t="s">
        <v>291</v>
      </c>
      <c r="C22" s="6" t="s">
        <v>294</v>
      </c>
      <c r="D22" s="6" t="s">
        <v>412</v>
      </c>
      <c r="E22" s="6" t="s">
        <v>295</v>
      </c>
    </row>
    <row r="23" spans="1:6" ht="28.5" x14ac:dyDescent="0.25">
      <c r="A23" s="2" t="s">
        <v>293</v>
      </c>
      <c r="B23" s="6" t="s">
        <v>300</v>
      </c>
      <c r="C23" s="6" t="s">
        <v>304</v>
      </c>
      <c r="D23" s="6" t="s">
        <v>303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1" t="s">
        <v>20</v>
      </c>
      <c r="B28" s="22"/>
      <c r="C28" s="22"/>
      <c r="D28" s="22"/>
      <c r="E28" s="22"/>
      <c r="F28" s="22"/>
    </row>
    <row r="29" spans="1:6" ht="18" customHeight="1" x14ac:dyDescent="0.25">
      <c r="A29" s="25" t="s">
        <v>21</v>
      </c>
      <c r="B29" s="26"/>
      <c r="C29" s="26"/>
      <c r="D29" s="26"/>
      <c r="E29" s="26"/>
      <c r="F29" s="26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296</v>
      </c>
      <c r="C31" s="6" t="s">
        <v>305</v>
      </c>
      <c r="D31" s="2" t="s">
        <v>159</v>
      </c>
      <c r="E31" s="33" t="s">
        <v>710</v>
      </c>
      <c r="F31" s="2"/>
    </row>
    <row r="32" spans="1:6" ht="28.5" x14ac:dyDescent="0.25">
      <c r="A32" s="2" t="s">
        <v>317</v>
      </c>
      <c r="B32" s="6" t="s">
        <v>297</v>
      </c>
      <c r="C32" s="6" t="s">
        <v>306</v>
      </c>
      <c r="D32" s="6" t="s">
        <v>159</v>
      </c>
      <c r="E32" s="33" t="s">
        <v>711</v>
      </c>
      <c r="F32" s="2"/>
    </row>
    <row r="33" spans="1:6" x14ac:dyDescent="0.25">
      <c r="A33" s="2" t="s">
        <v>318</v>
      </c>
      <c r="B33" s="6" t="s">
        <v>298</v>
      </c>
      <c r="C33" s="6" t="s">
        <v>307</v>
      </c>
      <c r="D33" s="2" t="s">
        <v>159</v>
      </c>
      <c r="E33" s="33" t="s">
        <v>712</v>
      </c>
      <c r="F33" s="2"/>
    </row>
    <row r="34" spans="1:6" ht="20.100000000000001" customHeight="1" x14ac:dyDescent="0.25">
      <c r="A34" s="2" t="s">
        <v>319</v>
      </c>
      <c r="B34" s="6" t="s">
        <v>299</v>
      </c>
      <c r="C34" s="6" t="s">
        <v>308</v>
      </c>
      <c r="D34" s="2" t="s">
        <v>159</v>
      </c>
      <c r="E34" s="33" t="s">
        <v>713</v>
      </c>
      <c r="F34" s="2"/>
    </row>
    <row r="35" spans="1:6" ht="42.75" x14ac:dyDescent="0.25">
      <c r="A35" s="2" t="s">
        <v>320</v>
      </c>
      <c r="B35" s="6" t="s">
        <v>309</v>
      </c>
      <c r="C35" s="6" t="s">
        <v>310</v>
      </c>
      <c r="D35" s="2" t="s">
        <v>159</v>
      </c>
      <c r="E35" s="33" t="s">
        <v>714</v>
      </c>
      <c r="F35" s="2"/>
    </row>
    <row r="36" spans="1:6" ht="20.100000000000001" customHeight="1" x14ac:dyDescent="0.25">
      <c r="A36" s="2" t="s">
        <v>321</v>
      </c>
      <c r="B36" s="6" t="s">
        <v>311</v>
      </c>
      <c r="C36" s="6" t="s">
        <v>312</v>
      </c>
      <c r="D36" s="2" t="s">
        <v>159</v>
      </c>
      <c r="E36" s="33" t="s">
        <v>715</v>
      </c>
      <c r="F36" s="2"/>
    </row>
    <row r="37" spans="1:6" ht="28.5" x14ac:dyDescent="0.25">
      <c r="A37" s="2" t="s">
        <v>322</v>
      </c>
      <c r="B37" s="6" t="s">
        <v>314</v>
      </c>
      <c r="C37" s="6" t="s">
        <v>316</v>
      </c>
      <c r="D37" s="2" t="s">
        <v>159</v>
      </c>
      <c r="E37" s="33" t="s">
        <v>716</v>
      </c>
      <c r="F37" s="2"/>
    </row>
    <row r="38" spans="1:6" ht="20.100000000000001" customHeight="1" x14ac:dyDescent="0.25">
      <c r="A38" s="2" t="s">
        <v>323</v>
      </c>
      <c r="B38" s="6" t="s">
        <v>313</v>
      </c>
      <c r="C38" s="6" t="s">
        <v>315</v>
      </c>
      <c r="D38" s="2" t="s">
        <v>159</v>
      </c>
      <c r="E38" s="33" t="s">
        <v>717</v>
      </c>
      <c r="F38" s="2"/>
    </row>
    <row r="40" spans="1:6" ht="20.100000000000001" customHeight="1" x14ac:dyDescent="0.25">
      <c r="A40" s="21" t="s">
        <v>27</v>
      </c>
      <c r="B40" s="22"/>
      <c r="C40" s="22"/>
      <c r="D40" s="22"/>
      <c r="E40" s="22"/>
    </row>
    <row r="41" spans="1:6" ht="18" customHeight="1" x14ac:dyDescent="0.25">
      <c r="A41" s="25" t="s">
        <v>28</v>
      </c>
      <c r="B41" s="26"/>
      <c r="C41" s="26"/>
      <c r="D41" s="26"/>
      <c r="E41" s="26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326</v>
      </c>
      <c r="D43" s="6" t="s">
        <v>276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326</v>
      </c>
      <c r="D44" s="6" t="s">
        <v>276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324</v>
      </c>
      <c r="E45" s="6" t="s">
        <v>325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326</v>
      </c>
      <c r="D46" s="6" t="s">
        <v>418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326</v>
      </c>
      <c r="D47" s="8" t="s">
        <v>276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1" t="s">
        <v>42</v>
      </c>
      <c r="B51" s="22"/>
      <c r="C51" s="22"/>
      <c r="D51" s="22"/>
      <c r="E51" s="22"/>
      <c r="F51" s="22"/>
      <c r="G51" s="22"/>
      <c r="H51" s="22"/>
      <c r="I51" s="22"/>
      <c r="J51" s="22"/>
    </row>
    <row r="52" spans="1:10" ht="18" customHeight="1" x14ac:dyDescent="0.25">
      <c r="A52" s="25" t="s">
        <v>43</v>
      </c>
      <c r="B52" s="26"/>
      <c r="C52" s="26"/>
      <c r="D52" s="26"/>
      <c r="E52" s="26"/>
      <c r="F52" s="26"/>
      <c r="G52" s="26"/>
      <c r="H52" s="26"/>
      <c r="I52" s="26"/>
      <c r="J52" s="26"/>
    </row>
    <row r="53" spans="1:1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327</v>
      </c>
      <c r="C54" s="6" t="s">
        <v>328</v>
      </c>
      <c r="D54" s="6" t="s">
        <v>329</v>
      </c>
      <c r="E54" s="6" t="s">
        <v>330</v>
      </c>
      <c r="F54" s="6" t="s">
        <v>331</v>
      </c>
      <c r="G54" s="6" t="s">
        <v>417</v>
      </c>
      <c r="H54" s="6" t="s">
        <v>333</v>
      </c>
      <c r="I54" s="6" t="s">
        <v>332</v>
      </c>
      <c r="J54" s="6" t="s">
        <v>334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1" t="s">
        <v>54</v>
      </c>
      <c r="B61" s="22"/>
      <c r="C61" s="22"/>
      <c r="D61" s="22"/>
      <c r="E61" s="22"/>
    </row>
    <row r="62" spans="1:10" ht="18" customHeight="1" x14ac:dyDescent="0.25">
      <c r="A62" s="25" t="s">
        <v>55</v>
      </c>
      <c r="B62" s="26"/>
      <c r="C62" s="26"/>
      <c r="D62" s="26"/>
      <c r="E62" s="26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1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1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1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2">
        <v>0.999</v>
      </c>
      <c r="E67" s="6" t="s">
        <v>337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0" t="s">
        <v>335</v>
      </c>
      <c r="E68" s="6" t="s">
        <v>336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18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3">
        <v>1</v>
      </c>
      <c r="E70" s="6" t="s">
        <v>339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3">
        <v>60</v>
      </c>
      <c r="E71" s="6" t="s">
        <v>340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9">
        <v>2E-3</v>
      </c>
      <c r="E72" s="6" t="s">
        <v>669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1" t="s">
        <v>83</v>
      </c>
      <c r="B78" s="22"/>
      <c r="C78" s="22"/>
      <c r="D78" s="22"/>
      <c r="E78" s="22"/>
    </row>
    <row r="79" spans="1:5" ht="18" customHeight="1" x14ac:dyDescent="0.25">
      <c r="A79" s="31" t="s">
        <v>361</v>
      </c>
      <c r="B79" s="26"/>
      <c r="C79" s="26"/>
      <c r="D79" s="26"/>
      <c r="E79" s="26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344</v>
      </c>
      <c r="C81" s="6" t="s">
        <v>345</v>
      </c>
      <c r="D81" s="6" t="s">
        <v>346</v>
      </c>
      <c r="E81" s="2"/>
    </row>
    <row r="82" spans="1:5" ht="20.100000000000001" customHeight="1" x14ac:dyDescent="0.25">
      <c r="A82" s="2" t="s">
        <v>341</v>
      </c>
      <c r="B82" s="6" t="s">
        <v>347</v>
      </c>
      <c r="C82" s="6" t="s">
        <v>348</v>
      </c>
      <c r="D82" s="6" t="s">
        <v>349</v>
      </c>
      <c r="E82" s="6" t="s">
        <v>357</v>
      </c>
    </row>
    <row r="83" spans="1:5" ht="28.5" x14ac:dyDescent="0.25">
      <c r="A83" s="2" t="s">
        <v>338</v>
      </c>
      <c r="B83" s="6" t="s">
        <v>350</v>
      </c>
      <c r="C83" s="6" t="s">
        <v>351</v>
      </c>
      <c r="D83" s="6" t="s">
        <v>354</v>
      </c>
      <c r="E83" s="6"/>
    </row>
    <row r="84" spans="1:5" ht="28.5" x14ac:dyDescent="0.25">
      <c r="A84" s="2" t="s">
        <v>342</v>
      </c>
      <c r="B84" s="6" t="s">
        <v>352</v>
      </c>
      <c r="C84" s="6" t="s">
        <v>353</v>
      </c>
      <c r="D84" s="6" t="s">
        <v>362</v>
      </c>
      <c r="E84" s="2"/>
    </row>
    <row r="85" spans="1:5" ht="28.5" x14ac:dyDescent="0.25">
      <c r="A85" s="2" t="s">
        <v>343</v>
      </c>
      <c r="B85" s="6" t="s">
        <v>355</v>
      </c>
      <c r="C85" s="6" t="s">
        <v>356</v>
      </c>
      <c r="D85" s="6" t="s">
        <v>354</v>
      </c>
      <c r="E85" s="2"/>
    </row>
    <row r="86" spans="1:5" ht="28.5" x14ac:dyDescent="0.25">
      <c r="A86" s="2" t="s">
        <v>358</v>
      </c>
      <c r="B86" s="6" t="s">
        <v>359</v>
      </c>
      <c r="C86" s="6" t="s">
        <v>360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1" t="s">
        <v>88</v>
      </c>
      <c r="B91" s="22"/>
      <c r="C91" s="22"/>
      <c r="D91" s="22"/>
      <c r="E91" s="22"/>
    </row>
    <row r="92" spans="1:5" ht="18" customHeight="1" x14ac:dyDescent="0.25">
      <c r="A92" s="25" t="s">
        <v>89</v>
      </c>
      <c r="B92" s="26"/>
      <c r="C92" s="26"/>
      <c r="D92" s="26"/>
      <c r="E92" s="26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363</v>
      </c>
      <c r="D94" s="6" t="s">
        <v>364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9">
        <v>0</v>
      </c>
      <c r="D95" s="6" t="s">
        <v>416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9">
        <v>0</v>
      </c>
      <c r="D96" s="6" t="s">
        <v>365</v>
      </c>
      <c r="E96" s="2"/>
    </row>
    <row r="97" spans="1:5" ht="57" x14ac:dyDescent="0.25">
      <c r="A97" s="2" t="s">
        <v>99</v>
      </c>
      <c r="B97" s="2" t="s">
        <v>100</v>
      </c>
      <c r="C97" s="20">
        <v>550000</v>
      </c>
      <c r="D97" s="2" t="s">
        <v>670</v>
      </c>
      <c r="E97" s="2" t="s">
        <v>709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1" t="s">
        <v>101</v>
      </c>
      <c r="B101" s="22"/>
      <c r="C101" s="22"/>
      <c r="D101" s="22"/>
      <c r="E101" s="22"/>
    </row>
    <row r="102" spans="1:5" ht="18" customHeight="1" x14ac:dyDescent="0.25">
      <c r="A102" s="25" t="s">
        <v>102</v>
      </c>
      <c r="B102" s="26"/>
      <c r="C102" s="26"/>
      <c r="D102" s="26"/>
      <c r="E102" s="26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366</v>
      </c>
      <c r="C104" s="6" t="s">
        <v>368</v>
      </c>
      <c r="D104" s="6" t="s">
        <v>367</v>
      </c>
      <c r="E104" s="2"/>
    </row>
    <row r="105" spans="1:5" ht="28.5" x14ac:dyDescent="0.25">
      <c r="A105" s="2" t="s">
        <v>371</v>
      </c>
      <c r="B105" s="6" t="s">
        <v>369</v>
      </c>
      <c r="C105" s="6" t="s">
        <v>370</v>
      </c>
      <c r="D105" s="6" t="s">
        <v>373</v>
      </c>
      <c r="E105" s="2"/>
    </row>
    <row r="106" spans="1:5" ht="28.5" x14ac:dyDescent="0.25">
      <c r="A106" s="2" t="s">
        <v>372</v>
      </c>
      <c r="B106" s="6" t="s">
        <v>374</v>
      </c>
      <c r="C106" s="6" t="s">
        <v>375</v>
      </c>
      <c r="D106" s="6" t="s">
        <v>376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1" t="s">
        <v>106</v>
      </c>
      <c r="B111" s="22"/>
      <c r="C111" s="22"/>
      <c r="D111" s="22"/>
      <c r="E111" s="22"/>
    </row>
    <row r="112" spans="1:5" ht="18" customHeight="1" x14ac:dyDescent="0.25">
      <c r="A112" s="25" t="s">
        <v>107</v>
      </c>
      <c r="B112" s="26"/>
      <c r="C112" s="26"/>
      <c r="D112" s="26"/>
      <c r="E112" s="26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397</v>
      </c>
      <c r="C114" s="2" t="s">
        <v>377</v>
      </c>
      <c r="D114" s="2" t="s">
        <v>378</v>
      </c>
      <c r="E114" s="2"/>
    </row>
    <row r="115" spans="1:6" ht="28.5" x14ac:dyDescent="0.25">
      <c r="A115" s="2" t="s">
        <v>379</v>
      </c>
      <c r="B115" s="2" t="s">
        <v>380</v>
      </c>
      <c r="C115" s="2" t="s">
        <v>377</v>
      </c>
      <c r="D115" s="2" t="s">
        <v>378</v>
      </c>
      <c r="E115" s="2"/>
    </row>
    <row r="116" spans="1:6" ht="28.5" x14ac:dyDescent="0.25">
      <c r="A116" s="2" t="s">
        <v>381</v>
      </c>
      <c r="B116" s="2" t="s">
        <v>382</v>
      </c>
      <c r="C116" s="2" t="s">
        <v>377</v>
      </c>
      <c r="D116" s="2" t="s">
        <v>378</v>
      </c>
      <c r="E116" s="2"/>
    </row>
    <row r="117" spans="1:6" ht="28.5" x14ac:dyDescent="0.25">
      <c r="A117" s="2" t="s">
        <v>383</v>
      </c>
      <c r="B117" s="2" t="s">
        <v>384</v>
      </c>
      <c r="C117" s="2" t="s">
        <v>377</v>
      </c>
      <c r="D117" s="2" t="s">
        <v>378</v>
      </c>
      <c r="E117" s="2"/>
    </row>
    <row r="118" spans="1:6" ht="28.5" x14ac:dyDescent="0.25">
      <c r="A118" s="2" t="s">
        <v>385</v>
      </c>
      <c r="B118" s="2" t="s">
        <v>386</v>
      </c>
      <c r="C118" s="2" t="s">
        <v>377</v>
      </c>
      <c r="D118" s="2" t="s">
        <v>378</v>
      </c>
      <c r="E118" s="2"/>
    </row>
    <row r="119" spans="1:6" ht="28.5" x14ac:dyDescent="0.25">
      <c r="A119" s="2" t="s">
        <v>387</v>
      </c>
      <c r="B119" s="2" t="s">
        <v>388</v>
      </c>
      <c r="C119" s="2" t="s">
        <v>377</v>
      </c>
      <c r="D119" s="2" t="s">
        <v>378</v>
      </c>
      <c r="E119" s="2"/>
    </row>
    <row r="120" spans="1:6" ht="28.5" x14ac:dyDescent="0.25">
      <c r="A120" s="2" t="s">
        <v>389</v>
      </c>
      <c r="B120" s="2" t="s">
        <v>390</v>
      </c>
      <c r="C120" s="2" t="s">
        <v>377</v>
      </c>
      <c r="D120" s="2" t="s">
        <v>378</v>
      </c>
      <c r="E120" s="2"/>
    </row>
    <row r="121" spans="1:6" ht="28.5" x14ac:dyDescent="0.25">
      <c r="A121" s="2" t="s">
        <v>391</v>
      </c>
      <c r="B121" s="2" t="s">
        <v>392</v>
      </c>
      <c r="C121" s="2" t="s">
        <v>377</v>
      </c>
      <c r="D121" s="2" t="s">
        <v>378</v>
      </c>
      <c r="E121" s="2"/>
    </row>
    <row r="122" spans="1:6" ht="28.5" x14ac:dyDescent="0.25">
      <c r="A122" s="2" t="s">
        <v>393</v>
      </c>
      <c r="B122" s="2" t="s">
        <v>394</v>
      </c>
      <c r="C122" s="2" t="s">
        <v>395</v>
      </c>
      <c r="D122" s="2" t="s">
        <v>396</v>
      </c>
      <c r="E122" s="2"/>
    </row>
    <row r="123" spans="1:6" ht="28.5" x14ac:dyDescent="0.25">
      <c r="A123" s="2" t="s">
        <v>419</v>
      </c>
      <c r="B123" s="2" t="s">
        <v>133</v>
      </c>
      <c r="C123" s="2" t="s">
        <v>377</v>
      </c>
      <c r="D123" s="2" t="s">
        <v>645</v>
      </c>
      <c r="E123" s="2" t="s">
        <v>438</v>
      </c>
    </row>
    <row r="124" spans="1:6" ht="42.75" x14ac:dyDescent="0.25">
      <c r="A124" s="2" t="s">
        <v>448</v>
      </c>
      <c r="B124" s="2" t="s">
        <v>146</v>
      </c>
      <c r="C124" s="2" t="s">
        <v>377</v>
      </c>
      <c r="D124" s="2" t="s">
        <v>378</v>
      </c>
      <c r="E124" s="2" t="s">
        <v>449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1" t="s">
        <v>112</v>
      </c>
      <c r="B127" s="22"/>
      <c r="C127" s="22"/>
      <c r="D127" s="22"/>
      <c r="E127" s="22"/>
      <c r="F127" s="22"/>
    </row>
    <row r="128" spans="1:6" ht="18" customHeight="1" x14ac:dyDescent="0.25">
      <c r="A128" s="25" t="s">
        <v>113</v>
      </c>
      <c r="B128" s="26"/>
      <c r="C128" s="26"/>
      <c r="D128" s="26"/>
      <c r="E128" s="26"/>
      <c r="F128" s="26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398</v>
      </c>
      <c r="C130" s="2" t="s">
        <v>399</v>
      </c>
      <c r="D130" s="2" t="s">
        <v>177</v>
      </c>
      <c r="E130" s="2" t="s">
        <v>400</v>
      </c>
      <c r="F130" s="2" t="s">
        <v>401</v>
      </c>
    </row>
    <row r="131" spans="1:6" ht="28.5" x14ac:dyDescent="0.25">
      <c r="A131" s="2" t="s">
        <v>402</v>
      </c>
      <c r="B131" s="2" t="s">
        <v>403</v>
      </c>
      <c r="C131" s="2" t="s">
        <v>404</v>
      </c>
      <c r="D131" s="2" t="s">
        <v>177</v>
      </c>
      <c r="E131" s="2" t="s">
        <v>177</v>
      </c>
      <c r="F131" s="2" t="s">
        <v>401</v>
      </c>
    </row>
    <row r="132" spans="1:6" x14ac:dyDescent="0.25">
      <c r="A132" s="2" t="s">
        <v>405</v>
      </c>
      <c r="B132" s="2" t="s">
        <v>406</v>
      </c>
      <c r="C132" s="6" t="s">
        <v>411</v>
      </c>
      <c r="D132" s="2" t="s">
        <v>177</v>
      </c>
      <c r="E132" s="2" t="s">
        <v>177</v>
      </c>
      <c r="F132" s="2" t="s">
        <v>401</v>
      </c>
    </row>
    <row r="133" spans="1:6" x14ac:dyDescent="0.25">
      <c r="A133" s="2" t="s">
        <v>407</v>
      </c>
      <c r="B133" s="2" t="s">
        <v>408</v>
      </c>
      <c r="C133" s="2" t="s">
        <v>409</v>
      </c>
      <c r="D133" s="2" t="s">
        <v>410</v>
      </c>
      <c r="E133" s="2" t="s">
        <v>410</v>
      </c>
      <c r="F133" s="2" t="s">
        <v>401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  <mergeCell ref="A4:E4"/>
    <mergeCell ref="A5:E5"/>
    <mergeCell ref="A1:B1"/>
    <mergeCell ref="F6:J6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4" activePane="bottomLeft" state="frozen"/>
      <selection pane="bottomLeft" activeCell="C39" sqref="C39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420</v>
      </c>
      <c r="C3" s="2" t="s">
        <v>421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422</v>
      </c>
      <c r="C6" s="2" t="s">
        <v>423</v>
      </c>
    </row>
    <row r="7" spans="1:3" ht="71.25" x14ac:dyDescent="0.25">
      <c r="A7" s="2" t="s">
        <v>125</v>
      </c>
      <c r="B7" s="2" t="s">
        <v>424</v>
      </c>
      <c r="C7" s="2" t="s">
        <v>425</v>
      </c>
    </row>
    <row r="8" spans="1:3" ht="57" x14ac:dyDescent="0.25">
      <c r="A8" s="2" t="s">
        <v>126</v>
      </c>
      <c r="B8" s="2" t="s">
        <v>608</v>
      </c>
      <c r="C8" s="2" t="s">
        <v>609</v>
      </c>
    </row>
    <row r="9" spans="1:3" ht="28.5" x14ac:dyDescent="0.25">
      <c r="A9" s="2" t="s">
        <v>127</v>
      </c>
      <c r="B9" s="2" t="s">
        <v>429</v>
      </c>
      <c r="C9" s="2" t="s">
        <v>428</v>
      </c>
    </row>
    <row r="10" spans="1:3" ht="57" x14ac:dyDescent="0.25">
      <c r="A10" s="2" t="s">
        <v>128</v>
      </c>
      <c r="B10" s="2" t="s">
        <v>427</v>
      </c>
      <c r="C10" s="2" t="s">
        <v>426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430</v>
      </c>
      <c r="C13" s="2"/>
    </row>
    <row r="14" spans="1:3" ht="28.5" x14ac:dyDescent="0.25">
      <c r="A14" s="2" t="s">
        <v>131</v>
      </c>
      <c r="B14" s="2" t="s">
        <v>431</v>
      </c>
      <c r="C14" s="2"/>
    </row>
    <row r="15" spans="1:3" ht="28.5" x14ac:dyDescent="0.25">
      <c r="A15" s="2" t="s">
        <v>132</v>
      </c>
      <c r="B15" s="2" t="s">
        <v>432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435</v>
      </c>
      <c r="C18" s="2" t="s">
        <v>437</v>
      </c>
    </row>
    <row r="19" spans="1:3" ht="28.5" x14ac:dyDescent="0.25">
      <c r="A19" s="2" t="s">
        <v>135</v>
      </c>
      <c r="B19" s="2" t="s">
        <v>434</v>
      </c>
      <c r="C19" s="2" t="s">
        <v>433</v>
      </c>
    </row>
    <row r="20" spans="1:3" x14ac:dyDescent="0.25">
      <c r="A20" s="2" t="s">
        <v>136</v>
      </c>
      <c r="B20" s="2" t="s">
        <v>436</v>
      </c>
      <c r="C20" s="2" t="s">
        <v>439</v>
      </c>
    </row>
    <row r="21" spans="1:3" x14ac:dyDescent="0.25">
      <c r="A21" s="2" t="s">
        <v>137</v>
      </c>
      <c r="B21" s="2" t="s">
        <v>440</v>
      </c>
      <c r="C21" s="2" t="s">
        <v>441</v>
      </c>
    </row>
    <row r="22" spans="1:3" ht="71.25" x14ac:dyDescent="0.25">
      <c r="A22" s="2" t="s">
        <v>138</v>
      </c>
      <c r="B22" s="2" t="s">
        <v>442</v>
      </c>
      <c r="C22" s="2"/>
    </row>
    <row r="23" spans="1:3" x14ac:dyDescent="0.25">
      <c r="A23" s="2" t="s">
        <v>139</v>
      </c>
      <c r="B23" s="2" t="s">
        <v>443</v>
      </c>
      <c r="C23" s="2" t="s">
        <v>444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445</v>
      </c>
      <c r="C26" s="2"/>
    </row>
    <row r="27" spans="1:3" ht="28.5" x14ac:dyDescent="0.25">
      <c r="A27" s="2" t="s">
        <v>142</v>
      </c>
      <c r="B27" s="2" t="s">
        <v>665</v>
      </c>
      <c r="C27" s="2"/>
    </row>
    <row r="28" spans="1:3" ht="42.75" x14ac:dyDescent="0.25">
      <c r="A28" s="2" t="s">
        <v>143</v>
      </c>
      <c r="B28" s="2" t="s">
        <v>446</v>
      </c>
      <c r="C28" s="2"/>
    </row>
    <row r="29" spans="1:3" ht="42.75" x14ac:dyDescent="0.25">
      <c r="A29" s="2" t="s">
        <v>144</v>
      </c>
      <c r="B29" s="2" t="s">
        <v>666</v>
      </c>
      <c r="C29" s="2"/>
    </row>
    <row r="30" spans="1:3" x14ac:dyDescent="0.25">
      <c r="A30" s="2" t="s">
        <v>145</v>
      </c>
      <c r="B30" s="2" t="s">
        <v>447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450</v>
      </c>
      <c r="C33" s="2" t="s">
        <v>451</v>
      </c>
    </row>
    <row r="34" spans="1:3" ht="28.5" x14ac:dyDescent="0.25">
      <c r="A34" s="2" t="s">
        <v>148</v>
      </c>
      <c r="B34" s="2" t="s">
        <v>452</v>
      </c>
      <c r="C34" s="2"/>
    </row>
    <row r="35" spans="1:3" x14ac:dyDescent="0.25">
      <c r="A35" s="2" t="s">
        <v>149</v>
      </c>
      <c r="B35" s="2" t="s">
        <v>453</v>
      </c>
      <c r="C35" s="2" t="s">
        <v>454</v>
      </c>
    </row>
    <row r="36" spans="1:3" ht="28.5" x14ac:dyDescent="0.25">
      <c r="A36" s="2" t="s">
        <v>150</v>
      </c>
      <c r="B36" s="2" t="s">
        <v>455</v>
      </c>
      <c r="C36" s="2" t="s">
        <v>456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650</v>
      </c>
      <c r="C39" s="2"/>
    </row>
    <row r="40" spans="1:3" ht="28.5" x14ac:dyDescent="0.25">
      <c r="A40" s="2" t="s">
        <v>153</v>
      </c>
      <c r="B40" s="2" t="s">
        <v>457</v>
      </c>
      <c r="C40" s="2"/>
    </row>
    <row r="41" spans="1:3" ht="28.5" x14ac:dyDescent="0.25">
      <c r="A41" s="2" t="s">
        <v>154</v>
      </c>
      <c r="B41" s="2" t="s">
        <v>458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opLeftCell="A20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2" t="s">
        <v>155</v>
      </c>
      <c r="B1" s="22"/>
      <c r="C1" s="22"/>
      <c r="D1" s="22"/>
    </row>
    <row r="2" spans="1:4" x14ac:dyDescent="0.25">
      <c r="A2" s="25" t="s">
        <v>156</v>
      </c>
      <c r="B2" s="26"/>
      <c r="C2" s="26"/>
      <c r="D2" s="26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459</v>
      </c>
      <c r="C4" s="2" t="s">
        <v>159</v>
      </c>
      <c r="D4" s="2" t="s">
        <v>26</v>
      </c>
    </row>
    <row r="5" spans="1:4" ht="28.5" x14ac:dyDescent="0.25">
      <c r="A5" s="2" t="s">
        <v>460</v>
      </c>
      <c r="B5" s="2" t="s">
        <v>461</v>
      </c>
      <c r="C5" s="2" t="s">
        <v>159</v>
      </c>
      <c r="D5" s="2" t="s">
        <v>317</v>
      </c>
    </row>
    <row r="6" spans="1:4" x14ac:dyDescent="0.25">
      <c r="A6" s="2" t="s">
        <v>462</v>
      </c>
      <c r="B6" s="2" t="s">
        <v>463</v>
      </c>
      <c r="C6" s="2" t="s">
        <v>159</v>
      </c>
      <c r="D6" s="2" t="s">
        <v>318</v>
      </c>
    </row>
    <row r="7" spans="1:4" x14ac:dyDescent="0.25">
      <c r="A7" s="2" t="s">
        <v>464</v>
      </c>
      <c r="B7" s="2" t="s">
        <v>465</v>
      </c>
      <c r="C7" s="2" t="s">
        <v>159</v>
      </c>
      <c r="D7" s="2" t="s">
        <v>319</v>
      </c>
    </row>
    <row r="8" spans="1:4" ht="28.5" x14ac:dyDescent="0.25">
      <c r="A8" s="2" t="s">
        <v>466</v>
      </c>
      <c r="B8" s="2" t="s">
        <v>467</v>
      </c>
      <c r="C8" s="2" t="s">
        <v>159</v>
      </c>
      <c r="D8" s="2" t="s">
        <v>468</v>
      </c>
    </row>
    <row r="9" spans="1:4" ht="28.5" x14ac:dyDescent="0.25">
      <c r="A9" s="2" t="s">
        <v>469</v>
      </c>
      <c r="B9" s="2" t="s">
        <v>470</v>
      </c>
      <c r="C9" s="2" t="s">
        <v>159</v>
      </c>
      <c r="D9" s="2" t="s">
        <v>471</v>
      </c>
    </row>
    <row r="10" spans="1:4" ht="28.5" x14ac:dyDescent="0.25">
      <c r="A10" s="2" t="s">
        <v>472</v>
      </c>
      <c r="B10" s="2" t="s">
        <v>473</v>
      </c>
      <c r="C10" s="2" t="s">
        <v>159</v>
      </c>
      <c r="D10" s="2" t="s">
        <v>321</v>
      </c>
    </row>
    <row r="11" spans="1:4" ht="28.5" x14ac:dyDescent="0.25">
      <c r="A11" s="2" t="s">
        <v>474</v>
      </c>
      <c r="B11" s="2" t="s">
        <v>475</v>
      </c>
      <c r="C11" s="2" t="s">
        <v>159</v>
      </c>
      <c r="D11" s="2" t="s">
        <v>323</v>
      </c>
    </row>
    <row r="12" spans="1:4" ht="28.5" x14ac:dyDescent="0.25">
      <c r="A12" s="2" t="s">
        <v>476</v>
      </c>
      <c r="B12" s="2" t="s">
        <v>477</v>
      </c>
      <c r="C12" s="2" t="s">
        <v>159</v>
      </c>
      <c r="D12" s="2" t="s">
        <v>478</v>
      </c>
    </row>
    <row r="13" spans="1:4" ht="28.5" x14ac:dyDescent="0.25">
      <c r="A13" s="2" t="s">
        <v>479</v>
      </c>
      <c r="B13" s="2" t="s">
        <v>480</v>
      </c>
      <c r="C13" s="2" t="s">
        <v>159</v>
      </c>
      <c r="D13" s="2" t="s">
        <v>481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2" t="s">
        <v>160</v>
      </c>
      <c r="B22" s="22"/>
      <c r="C22" s="22"/>
      <c r="D22" s="22"/>
      <c r="E22" s="22"/>
    </row>
    <row r="23" spans="1:5" x14ac:dyDescent="0.25">
      <c r="A23" s="25" t="s">
        <v>161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482</v>
      </c>
      <c r="C25" s="2" t="s">
        <v>164</v>
      </c>
      <c r="D25" s="2" t="s">
        <v>483</v>
      </c>
      <c r="E25" s="2" t="s">
        <v>484</v>
      </c>
    </row>
    <row r="26" spans="1:5" ht="28.5" x14ac:dyDescent="0.25">
      <c r="A26" s="2" t="s">
        <v>485</v>
      </c>
      <c r="B26" s="2" t="s">
        <v>486</v>
      </c>
      <c r="C26" s="2" t="s">
        <v>164</v>
      </c>
      <c r="D26" s="2" t="s">
        <v>487</v>
      </c>
      <c r="E26" s="2" t="s">
        <v>75</v>
      </c>
    </row>
    <row r="27" spans="1:5" ht="28.5" x14ac:dyDescent="0.25">
      <c r="A27" s="2" t="s">
        <v>488</v>
      </c>
      <c r="B27" s="2" t="s">
        <v>489</v>
      </c>
      <c r="C27" s="2" t="s">
        <v>67</v>
      </c>
      <c r="D27" s="2" t="s">
        <v>490</v>
      </c>
      <c r="E27" s="2" t="s">
        <v>491</v>
      </c>
    </row>
    <row r="28" spans="1:5" ht="28.5" x14ac:dyDescent="0.25">
      <c r="A28" s="2" t="s">
        <v>492</v>
      </c>
      <c r="B28" s="2" t="s">
        <v>493</v>
      </c>
      <c r="C28" s="2" t="s">
        <v>164</v>
      </c>
      <c r="D28" s="2" t="s">
        <v>653</v>
      </c>
      <c r="E28" s="2" t="s">
        <v>72</v>
      </c>
    </row>
    <row r="29" spans="1:5" ht="42.75" x14ac:dyDescent="0.25">
      <c r="A29" s="2" t="s">
        <v>494</v>
      </c>
      <c r="B29" s="2" t="s">
        <v>495</v>
      </c>
      <c r="C29" s="2" t="s">
        <v>496</v>
      </c>
      <c r="D29" s="2" t="s">
        <v>497</v>
      </c>
      <c r="E29" s="2" t="s">
        <v>476</v>
      </c>
    </row>
    <row r="30" spans="1:5" ht="28.5" x14ac:dyDescent="0.25">
      <c r="A30" s="2" t="s">
        <v>498</v>
      </c>
      <c r="B30" s="2" t="s">
        <v>499</v>
      </c>
      <c r="C30" s="2" t="s">
        <v>496</v>
      </c>
      <c r="D30" s="2" t="s">
        <v>500</v>
      </c>
      <c r="E30" s="2" t="s">
        <v>53</v>
      </c>
    </row>
    <row r="31" spans="1:5" x14ac:dyDescent="0.25">
      <c r="A31" s="2" t="s">
        <v>501</v>
      </c>
      <c r="B31" s="2" t="s">
        <v>502</v>
      </c>
      <c r="C31" s="2" t="s">
        <v>496</v>
      </c>
      <c r="D31" s="2" t="s">
        <v>667</v>
      </c>
      <c r="E31" s="2" t="s">
        <v>343</v>
      </c>
    </row>
    <row r="32" spans="1:5" x14ac:dyDescent="0.25">
      <c r="A32" s="2" t="s">
        <v>503</v>
      </c>
      <c r="B32" s="2" t="s">
        <v>504</v>
      </c>
      <c r="C32" s="2" t="s">
        <v>505</v>
      </c>
      <c r="D32" s="2" t="s">
        <v>646</v>
      </c>
      <c r="E32" s="2" t="s">
        <v>658</v>
      </c>
    </row>
    <row r="33" spans="1:6" x14ac:dyDescent="0.25">
      <c r="A33" s="2" t="s">
        <v>506</v>
      </c>
      <c r="B33" s="2" t="s">
        <v>507</v>
      </c>
      <c r="C33" s="2" t="s">
        <v>505</v>
      </c>
      <c r="D33" s="2" t="s">
        <v>508</v>
      </c>
      <c r="E33" s="2" t="s">
        <v>649</v>
      </c>
    </row>
    <row r="34" spans="1:6" ht="28.5" x14ac:dyDescent="0.25">
      <c r="A34" s="2" t="s">
        <v>509</v>
      </c>
      <c r="B34" s="2" t="s">
        <v>510</v>
      </c>
      <c r="C34" s="2" t="s">
        <v>511</v>
      </c>
      <c r="D34" s="2" t="s">
        <v>512</v>
      </c>
      <c r="E34" s="2" t="s">
        <v>513</v>
      </c>
    </row>
    <row r="35" spans="1:6" ht="28.5" x14ac:dyDescent="0.25">
      <c r="A35" s="2" t="s">
        <v>514</v>
      </c>
      <c r="B35" s="2" t="s">
        <v>515</v>
      </c>
      <c r="C35" s="2" t="s">
        <v>496</v>
      </c>
      <c r="D35" s="2" t="s">
        <v>516</v>
      </c>
      <c r="E35" s="2" t="s">
        <v>517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2" t="s">
        <v>171</v>
      </c>
      <c r="B41" s="22"/>
      <c r="C41" s="22"/>
      <c r="D41" s="22"/>
      <c r="E41" s="22"/>
      <c r="F41" s="22"/>
    </row>
    <row r="42" spans="1:6" x14ac:dyDescent="0.25">
      <c r="A42" s="25" t="s">
        <v>172</v>
      </c>
      <c r="B42" s="26"/>
      <c r="C42" s="26"/>
      <c r="D42" s="26"/>
      <c r="E42" s="26"/>
      <c r="F42" s="26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394</v>
      </c>
      <c r="C44" s="2" t="s">
        <v>518</v>
      </c>
      <c r="D44" s="2" t="s">
        <v>519</v>
      </c>
      <c r="E44" s="2" t="s">
        <v>520</v>
      </c>
      <c r="F44" s="2" t="s">
        <v>400</v>
      </c>
    </row>
    <row r="45" spans="1:6" x14ac:dyDescent="0.25">
      <c r="A45" s="2" t="s">
        <v>521</v>
      </c>
      <c r="B45" s="2" t="s">
        <v>522</v>
      </c>
      <c r="C45" s="2" t="s">
        <v>378</v>
      </c>
      <c r="D45" s="2" t="s">
        <v>523</v>
      </c>
      <c r="E45" s="2" t="s">
        <v>381</v>
      </c>
      <c r="F45" s="2" t="s">
        <v>400</v>
      </c>
    </row>
    <row r="46" spans="1:6" x14ac:dyDescent="0.25">
      <c r="A46" s="2" t="s">
        <v>524</v>
      </c>
      <c r="B46" s="2" t="s">
        <v>525</v>
      </c>
      <c r="C46" s="2" t="s">
        <v>526</v>
      </c>
      <c r="D46" s="2" t="s">
        <v>527</v>
      </c>
      <c r="E46" s="2" t="s">
        <v>528</v>
      </c>
      <c r="F46" s="2" t="s">
        <v>400</v>
      </c>
    </row>
    <row r="47" spans="1:6" x14ac:dyDescent="0.25">
      <c r="A47" s="2" t="s">
        <v>529</v>
      </c>
      <c r="B47" s="2" t="s">
        <v>530</v>
      </c>
      <c r="C47" s="2" t="s">
        <v>531</v>
      </c>
      <c r="D47" s="2" t="s">
        <v>532</v>
      </c>
      <c r="E47" s="2" t="s">
        <v>533</v>
      </c>
      <c r="F47" s="2" t="s">
        <v>400</v>
      </c>
    </row>
    <row r="48" spans="1:6" x14ac:dyDescent="0.25">
      <c r="A48" s="2" t="s">
        <v>534</v>
      </c>
      <c r="B48" s="2" t="s">
        <v>535</v>
      </c>
      <c r="C48" s="2" t="s">
        <v>531</v>
      </c>
      <c r="D48" s="2" t="s">
        <v>532</v>
      </c>
      <c r="E48" s="2" t="s">
        <v>536</v>
      </c>
      <c r="F48" s="2" t="s">
        <v>400</v>
      </c>
    </row>
    <row r="49" spans="1:6" ht="99.75" x14ac:dyDescent="0.25">
      <c r="A49" s="2" t="s">
        <v>537</v>
      </c>
      <c r="B49" s="2" t="s">
        <v>538</v>
      </c>
      <c r="C49" s="2" t="s">
        <v>539</v>
      </c>
      <c r="D49" s="2" t="s">
        <v>532</v>
      </c>
      <c r="E49" s="2" t="s">
        <v>540</v>
      </c>
      <c r="F49" s="2" t="s">
        <v>400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2" t="s">
        <v>541</v>
      </c>
      <c r="B1" s="22"/>
      <c r="C1" s="22"/>
      <c r="D1" s="22"/>
      <c r="E1" s="22"/>
    </row>
    <row r="2" spans="1:5" x14ac:dyDescent="0.25">
      <c r="A2" s="25" t="s">
        <v>542</v>
      </c>
      <c r="B2" s="26"/>
      <c r="C2" s="26"/>
      <c r="D2" s="26"/>
      <c r="E2" s="26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301</v>
      </c>
      <c r="C4" s="2" t="s">
        <v>543</v>
      </c>
      <c r="D4" s="2" t="s">
        <v>668</v>
      </c>
      <c r="E4" s="2" t="s">
        <v>544</v>
      </c>
    </row>
    <row r="5" spans="1:5" x14ac:dyDescent="0.25">
      <c r="A5" s="2" t="s">
        <v>545</v>
      </c>
      <c r="B5" s="2" t="s">
        <v>546</v>
      </c>
      <c r="C5" s="2" t="s">
        <v>547</v>
      </c>
      <c r="D5" s="2" t="s">
        <v>548</v>
      </c>
      <c r="E5" s="2" t="s">
        <v>549</v>
      </c>
    </row>
    <row r="6" spans="1:5" x14ac:dyDescent="0.25">
      <c r="A6" s="2" t="s">
        <v>550</v>
      </c>
      <c r="B6" s="2" t="s">
        <v>551</v>
      </c>
      <c r="C6" s="2" t="s">
        <v>552</v>
      </c>
      <c r="D6" s="2" t="s">
        <v>553</v>
      </c>
      <c r="E6" s="2"/>
    </row>
    <row r="7" spans="1:5" ht="28.5" x14ac:dyDescent="0.25">
      <c r="A7" s="2" t="s">
        <v>554</v>
      </c>
      <c r="B7" s="2" t="s">
        <v>555</v>
      </c>
      <c r="C7" s="2" t="s">
        <v>556</v>
      </c>
      <c r="D7" s="2" t="s">
        <v>557</v>
      </c>
      <c r="E7" s="2" t="s">
        <v>558</v>
      </c>
    </row>
    <row r="8" spans="1:5" x14ac:dyDescent="0.25">
      <c r="A8" s="2" t="s">
        <v>559</v>
      </c>
      <c r="B8" s="2" t="s">
        <v>560</v>
      </c>
      <c r="C8" s="2" t="s">
        <v>561</v>
      </c>
      <c r="D8" s="2" t="s">
        <v>562</v>
      </c>
      <c r="E8" s="2" t="s">
        <v>659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2" t="s">
        <v>563</v>
      </c>
      <c r="B22" s="22"/>
      <c r="C22" s="22"/>
      <c r="D22" s="22"/>
      <c r="E22" s="22"/>
    </row>
    <row r="23" spans="1:5" x14ac:dyDescent="0.25">
      <c r="A23" s="25" t="s">
        <v>165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564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565</v>
      </c>
      <c r="B25" s="2" t="s">
        <v>170</v>
      </c>
      <c r="C25" s="2" t="s">
        <v>566</v>
      </c>
      <c r="D25" s="2" t="s">
        <v>601</v>
      </c>
      <c r="E25" s="2" t="s">
        <v>602</v>
      </c>
    </row>
    <row r="26" spans="1:5" x14ac:dyDescent="0.25">
      <c r="A26" s="2" t="s">
        <v>567</v>
      </c>
      <c r="B26" s="2" t="s">
        <v>170</v>
      </c>
      <c r="C26" s="2" t="s">
        <v>647</v>
      </c>
      <c r="D26" s="2" t="s">
        <v>603</v>
      </c>
      <c r="E26" s="2" t="s">
        <v>568</v>
      </c>
    </row>
    <row r="27" spans="1:5" x14ac:dyDescent="0.25">
      <c r="A27" s="2" t="s">
        <v>569</v>
      </c>
      <c r="B27" s="2" t="s">
        <v>545</v>
      </c>
      <c r="C27" s="2" t="s">
        <v>297</v>
      </c>
      <c r="D27" s="2" t="s">
        <v>604</v>
      </c>
      <c r="E27" s="2" t="s">
        <v>570</v>
      </c>
    </row>
    <row r="28" spans="1:5" x14ac:dyDescent="0.25">
      <c r="A28" s="2" t="s">
        <v>571</v>
      </c>
      <c r="B28" s="2" t="s">
        <v>545</v>
      </c>
      <c r="C28" s="2" t="s">
        <v>572</v>
      </c>
      <c r="D28" s="2" t="s">
        <v>605</v>
      </c>
      <c r="E28" s="2" t="s">
        <v>657</v>
      </c>
    </row>
    <row r="29" spans="1:5" ht="28.5" x14ac:dyDescent="0.25">
      <c r="A29" s="2" t="s">
        <v>574</v>
      </c>
      <c r="B29" s="2" t="s">
        <v>545</v>
      </c>
      <c r="C29" s="2" t="s">
        <v>313</v>
      </c>
      <c r="D29" s="2" t="s">
        <v>606</v>
      </c>
      <c r="E29" s="2" t="s">
        <v>575</v>
      </c>
    </row>
    <row r="30" spans="1:5" ht="28.5" x14ac:dyDescent="0.25">
      <c r="A30" s="2" t="s">
        <v>576</v>
      </c>
      <c r="B30" s="2" t="s">
        <v>550</v>
      </c>
      <c r="C30" s="2" t="s">
        <v>577</v>
      </c>
      <c r="D30" s="2" t="s">
        <v>573</v>
      </c>
      <c r="E30" s="2" t="s">
        <v>578</v>
      </c>
    </row>
    <row r="31" spans="1:5" x14ac:dyDescent="0.25">
      <c r="A31" s="2" t="s">
        <v>579</v>
      </c>
      <c r="B31" s="2" t="s">
        <v>550</v>
      </c>
      <c r="C31" s="2" t="s">
        <v>580</v>
      </c>
      <c r="D31" s="2" t="s">
        <v>607</v>
      </c>
      <c r="E31" s="2" t="s">
        <v>656</v>
      </c>
    </row>
    <row r="32" spans="1:5" x14ac:dyDescent="0.25">
      <c r="A32" s="2" t="s">
        <v>581</v>
      </c>
      <c r="B32" s="2" t="s">
        <v>550</v>
      </c>
      <c r="C32" s="2" t="s">
        <v>582</v>
      </c>
      <c r="D32" s="2" t="s">
        <v>654</v>
      </c>
      <c r="E32" s="2" t="s">
        <v>583</v>
      </c>
    </row>
    <row r="33" spans="1:5" x14ac:dyDescent="0.25">
      <c r="A33" s="2" t="s">
        <v>584</v>
      </c>
      <c r="B33" s="2" t="s">
        <v>550</v>
      </c>
      <c r="C33" s="2" t="s">
        <v>585</v>
      </c>
      <c r="D33" s="2" t="s">
        <v>603</v>
      </c>
      <c r="E33" s="2" t="s">
        <v>586</v>
      </c>
    </row>
    <row r="34" spans="1:5" ht="28.5" x14ac:dyDescent="0.25">
      <c r="A34" s="2" t="s">
        <v>587</v>
      </c>
      <c r="B34" s="2" t="s">
        <v>550</v>
      </c>
      <c r="C34" s="2" t="s">
        <v>588</v>
      </c>
      <c r="D34" s="2" t="s">
        <v>606</v>
      </c>
      <c r="E34" s="2" t="s">
        <v>589</v>
      </c>
    </row>
    <row r="35" spans="1:5" x14ac:dyDescent="0.25">
      <c r="A35" s="2" t="s">
        <v>590</v>
      </c>
      <c r="B35" s="2" t="s">
        <v>554</v>
      </c>
      <c r="C35" s="2" t="s">
        <v>591</v>
      </c>
      <c r="D35" s="2" t="s">
        <v>654</v>
      </c>
      <c r="E35" s="2" t="s">
        <v>592</v>
      </c>
    </row>
    <row r="36" spans="1:5" ht="28.5" x14ac:dyDescent="0.25">
      <c r="A36" s="2" t="s">
        <v>593</v>
      </c>
      <c r="B36" s="2" t="s">
        <v>554</v>
      </c>
      <c r="C36" s="2" t="s">
        <v>594</v>
      </c>
      <c r="D36" s="2" t="s">
        <v>605</v>
      </c>
      <c r="E36" s="2" t="s">
        <v>595</v>
      </c>
    </row>
    <row r="37" spans="1:5" x14ac:dyDescent="0.25">
      <c r="A37" s="2" t="s">
        <v>596</v>
      </c>
      <c r="B37" s="2" t="s">
        <v>554</v>
      </c>
      <c r="C37" s="2" t="s">
        <v>597</v>
      </c>
      <c r="D37" s="2" t="s">
        <v>606</v>
      </c>
      <c r="E37" s="2" t="s">
        <v>589</v>
      </c>
    </row>
    <row r="38" spans="1:5" ht="57" x14ac:dyDescent="0.25">
      <c r="A38" s="2" t="s">
        <v>598</v>
      </c>
      <c r="B38" s="2" t="s">
        <v>559</v>
      </c>
      <c r="C38" s="2" t="s">
        <v>660</v>
      </c>
      <c r="D38" s="2" t="s">
        <v>599</v>
      </c>
      <c r="E38" s="2" t="s">
        <v>661</v>
      </c>
    </row>
    <row r="39" spans="1:5" ht="28.5" x14ac:dyDescent="0.25">
      <c r="A39" s="2" t="s">
        <v>600</v>
      </c>
      <c r="B39" s="2" t="s">
        <v>559</v>
      </c>
      <c r="C39" s="2" t="s">
        <v>662</v>
      </c>
      <c r="D39" s="2" t="s">
        <v>654</v>
      </c>
      <c r="E39" s="2" t="s">
        <v>663</v>
      </c>
    </row>
    <row r="40" spans="1:5" x14ac:dyDescent="0.25">
      <c r="A40" s="2" t="s">
        <v>671</v>
      </c>
      <c r="B40" s="2" t="s">
        <v>170</v>
      </c>
      <c r="C40" s="2" t="s">
        <v>672</v>
      </c>
      <c r="D40" s="2" t="s">
        <v>603</v>
      </c>
      <c r="E40" s="2" t="s">
        <v>673</v>
      </c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2" t="s">
        <v>178</v>
      </c>
      <c r="B1" s="22"/>
      <c r="C1" s="22"/>
      <c r="D1" s="22"/>
      <c r="E1" s="22"/>
    </row>
    <row r="2" spans="1:5" x14ac:dyDescent="0.25">
      <c r="A2" s="25" t="s">
        <v>179</v>
      </c>
      <c r="B2" s="26"/>
      <c r="C2" s="26"/>
      <c r="D2" s="26"/>
      <c r="E2" s="26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5">
        <v>12000000</v>
      </c>
      <c r="D4" s="2" t="s">
        <v>185</v>
      </c>
      <c r="E4" s="2" t="s">
        <v>610</v>
      </c>
    </row>
    <row r="5" spans="1:5" ht="42.75" x14ac:dyDescent="0.25">
      <c r="A5" s="2" t="s">
        <v>186</v>
      </c>
      <c r="B5" s="2" t="s">
        <v>187</v>
      </c>
      <c r="C5" s="15">
        <v>46</v>
      </c>
      <c r="D5" s="2" t="s">
        <v>188</v>
      </c>
      <c r="E5" s="2" t="s">
        <v>651</v>
      </c>
    </row>
    <row r="6" spans="1:5" ht="42.75" x14ac:dyDescent="0.25">
      <c r="A6" s="2" t="s">
        <v>189</v>
      </c>
      <c r="B6" s="2" t="s">
        <v>190</v>
      </c>
      <c r="C6" s="15">
        <v>14</v>
      </c>
      <c r="D6" s="2" t="s">
        <v>188</v>
      </c>
      <c r="E6" s="2" t="s">
        <v>652</v>
      </c>
    </row>
    <row r="7" spans="1:5" x14ac:dyDescent="0.25">
      <c r="A7" s="2" t="s">
        <v>191</v>
      </c>
      <c r="B7" s="2" t="s">
        <v>192</v>
      </c>
      <c r="C7" s="15">
        <v>1</v>
      </c>
      <c r="D7" s="2" t="s">
        <v>193</v>
      </c>
      <c r="E7" s="2" t="s">
        <v>611</v>
      </c>
    </row>
    <row r="8" spans="1:5" x14ac:dyDescent="0.25">
      <c r="A8" s="2" t="s">
        <v>194</v>
      </c>
      <c r="B8" s="2" t="s">
        <v>195</v>
      </c>
      <c r="C8" s="15">
        <v>1</v>
      </c>
      <c r="D8" s="2" t="s">
        <v>193</v>
      </c>
      <c r="E8" s="2" t="s">
        <v>612</v>
      </c>
    </row>
    <row r="9" spans="1:5" x14ac:dyDescent="0.25">
      <c r="A9" s="2" t="s">
        <v>196</v>
      </c>
      <c r="B9" s="2" t="s">
        <v>197</v>
      </c>
      <c r="C9" s="15">
        <v>2</v>
      </c>
      <c r="D9" s="2" t="s">
        <v>198</v>
      </c>
      <c r="E9" s="2" t="s">
        <v>613</v>
      </c>
    </row>
    <row r="10" spans="1:5" x14ac:dyDescent="0.25">
      <c r="A10" s="2" t="s">
        <v>199</v>
      </c>
      <c r="B10" s="2" t="s">
        <v>200</v>
      </c>
      <c r="C10" s="15">
        <v>2</v>
      </c>
      <c r="D10" s="2" t="s">
        <v>198</v>
      </c>
      <c r="E10" s="2" t="s">
        <v>664</v>
      </c>
    </row>
    <row r="11" spans="1:5" ht="28.5" x14ac:dyDescent="0.25">
      <c r="A11" s="2" t="s">
        <v>201</v>
      </c>
      <c r="B11" s="2" t="s">
        <v>202</v>
      </c>
      <c r="C11" s="15">
        <v>2</v>
      </c>
      <c r="D11" s="2" t="s">
        <v>203</v>
      </c>
      <c r="E11" s="2" t="s">
        <v>614</v>
      </c>
    </row>
    <row r="12" spans="1:5" x14ac:dyDescent="0.25">
      <c r="A12" s="2" t="s">
        <v>204</v>
      </c>
      <c r="B12" s="2" t="s">
        <v>205</v>
      </c>
      <c r="C12" s="15">
        <v>0.2</v>
      </c>
      <c r="D12" s="2" t="s">
        <v>206</v>
      </c>
      <c r="E12" s="2" t="s">
        <v>615</v>
      </c>
    </row>
    <row r="13" spans="1:5" x14ac:dyDescent="0.25">
      <c r="A13" s="2" t="s">
        <v>207</v>
      </c>
      <c r="B13" s="2" t="s">
        <v>208</v>
      </c>
      <c r="C13" s="15">
        <v>12</v>
      </c>
      <c r="D13" s="2" t="s">
        <v>206</v>
      </c>
      <c r="E13" s="2" t="s">
        <v>616</v>
      </c>
    </row>
    <row r="14" spans="1:5" x14ac:dyDescent="0.25">
      <c r="A14" s="2" t="s">
        <v>209</v>
      </c>
      <c r="B14" s="2" t="s">
        <v>210</v>
      </c>
      <c r="C14" s="15">
        <v>17</v>
      </c>
      <c r="D14" s="2" t="s">
        <v>206</v>
      </c>
      <c r="E14" s="2" t="s">
        <v>617</v>
      </c>
    </row>
    <row r="15" spans="1:5" x14ac:dyDescent="0.25">
      <c r="A15" s="2" t="s">
        <v>211</v>
      </c>
      <c r="B15" s="2" t="s">
        <v>212</v>
      </c>
      <c r="C15" s="15">
        <v>850</v>
      </c>
      <c r="D15" s="2" t="s">
        <v>206</v>
      </c>
      <c r="E15" s="2" t="s">
        <v>618</v>
      </c>
    </row>
    <row r="16" spans="1:5" x14ac:dyDescent="0.25">
      <c r="A16" s="2" t="s">
        <v>213</v>
      </c>
      <c r="B16" s="2" t="s">
        <v>214</v>
      </c>
      <c r="C16" s="14">
        <v>0.3</v>
      </c>
      <c r="D16" s="2" t="s">
        <v>206</v>
      </c>
      <c r="E16" s="2" t="s">
        <v>619</v>
      </c>
    </row>
    <row r="17" spans="1:5" x14ac:dyDescent="0.25">
      <c r="A17" s="2" t="s">
        <v>215</v>
      </c>
      <c r="B17" s="2" t="s">
        <v>216</v>
      </c>
      <c r="C17" s="15">
        <v>730</v>
      </c>
      <c r="D17" s="2" t="s">
        <v>217</v>
      </c>
      <c r="E17" s="2" t="s">
        <v>655</v>
      </c>
    </row>
    <row r="18" spans="1:5" ht="28.5" x14ac:dyDescent="0.25">
      <c r="A18" s="2" t="s">
        <v>218</v>
      </c>
      <c r="B18" s="2" t="s">
        <v>219</v>
      </c>
      <c r="C18" s="15">
        <v>2</v>
      </c>
      <c r="D18" s="2" t="s">
        <v>203</v>
      </c>
      <c r="E18" s="2" t="s">
        <v>620</v>
      </c>
    </row>
    <row r="19" spans="1:5" ht="28.5" x14ac:dyDescent="0.25">
      <c r="A19" s="2" t="s">
        <v>220</v>
      </c>
      <c r="B19" s="2" t="s">
        <v>221</v>
      </c>
      <c r="C19" s="15">
        <v>0.05</v>
      </c>
      <c r="D19" s="2" t="s">
        <v>222</v>
      </c>
      <c r="E19" s="2" t="s">
        <v>621</v>
      </c>
    </row>
    <row r="20" spans="1:5" ht="28.5" x14ac:dyDescent="0.25">
      <c r="A20" s="2" t="s">
        <v>622</v>
      </c>
      <c r="B20" s="2" t="s">
        <v>623</v>
      </c>
      <c r="C20" s="15">
        <v>10</v>
      </c>
      <c r="D20" s="2" t="s">
        <v>624</v>
      </c>
      <c r="E20" s="2" t="s">
        <v>625</v>
      </c>
    </row>
    <row r="21" spans="1:5" ht="28.5" x14ac:dyDescent="0.25">
      <c r="A21" s="2" t="s">
        <v>626</v>
      </c>
      <c r="B21" s="2" t="s">
        <v>627</v>
      </c>
      <c r="C21" s="15">
        <v>9</v>
      </c>
      <c r="D21" s="2" t="s">
        <v>628</v>
      </c>
      <c r="E21" s="2" t="s">
        <v>629</v>
      </c>
    </row>
    <row r="22" spans="1:5" ht="42.75" x14ac:dyDescent="0.25">
      <c r="A22" s="2" t="s">
        <v>630</v>
      </c>
      <c r="B22" s="2" t="s">
        <v>631</v>
      </c>
      <c r="C22" s="15">
        <v>0.7</v>
      </c>
      <c r="D22" s="2" t="s">
        <v>632</v>
      </c>
      <c r="E22" s="2" t="s">
        <v>633</v>
      </c>
    </row>
    <row r="23" spans="1:5" ht="42.75" x14ac:dyDescent="0.25">
      <c r="A23" s="2" t="s">
        <v>674</v>
      </c>
      <c r="B23" s="2" t="s">
        <v>675</v>
      </c>
      <c r="C23" s="15">
        <v>50000</v>
      </c>
      <c r="D23" s="2" t="s">
        <v>640</v>
      </c>
      <c r="E23" s="2" t="s">
        <v>676</v>
      </c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2" t="s">
        <v>223</v>
      </c>
      <c r="B29" s="22"/>
      <c r="C29" s="22"/>
      <c r="D29" s="22"/>
      <c r="E29" s="22"/>
    </row>
    <row r="30" spans="1:5" x14ac:dyDescent="0.25">
      <c r="A30" s="25" t="s">
        <v>224</v>
      </c>
      <c r="B30" s="26"/>
      <c r="C30" s="26"/>
      <c r="D30" s="26"/>
      <c r="E30" s="26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17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17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17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17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17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17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17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17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16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17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17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17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634</v>
      </c>
      <c r="B44" s="2" t="s">
        <v>635</v>
      </c>
      <c r="C44" s="17">
        <f>IF(COUNT($C$37,$C$20)&lt;2,"Missing Info",$C$37*$C$20)</f>
        <v>38888.888888888891</v>
      </c>
      <c r="D44" s="2" t="s">
        <v>636</v>
      </c>
      <c r="E44" s="2" t="s">
        <v>637</v>
      </c>
    </row>
    <row r="45" spans="1:5" ht="28.5" x14ac:dyDescent="0.25">
      <c r="A45" s="2" t="s">
        <v>638</v>
      </c>
      <c r="B45" s="2" t="s">
        <v>639</v>
      </c>
      <c r="C45" s="17">
        <f>IF(COUNT($C$4,$C$21)&lt;2,"Missing Info",$C$4*$C$21/24)</f>
        <v>4500000</v>
      </c>
      <c r="D45" s="2" t="s">
        <v>640</v>
      </c>
      <c r="E45" s="2" t="s">
        <v>641</v>
      </c>
    </row>
    <row r="46" spans="1:5" ht="28.5" x14ac:dyDescent="0.25">
      <c r="A46" s="2" t="s">
        <v>642</v>
      </c>
      <c r="B46" s="2" t="s">
        <v>643</v>
      </c>
      <c r="C46" s="17">
        <f>IF(COUNT($C$4,$C$22)&lt;2,"Missing Info",$C$4*$C$22)</f>
        <v>8400000</v>
      </c>
      <c r="D46" s="2" t="s">
        <v>640</v>
      </c>
      <c r="E46" s="2" t="s">
        <v>644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2" t="s">
        <v>269</v>
      </c>
      <c r="B1" s="22"/>
      <c r="C1" s="22"/>
      <c r="D1" s="22"/>
      <c r="E1" s="22"/>
    </row>
    <row r="2" spans="1:5" ht="18" customHeight="1" x14ac:dyDescent="0.25">
      <c r="A2" s="25" t="s">
        <v>270</v>
      </c>
      <c r="B2" s="26"/>
      <c r="C2" s="26"/>
      <c r="D2" s="26"/>
      <c r="E2" s="26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s">
        <v>275</v>
      </c>
      <c r="B4" s="4" t="s">
        <v>677</v>
      </c>
      <c r="C4" s="4" t="s">
        <v>678</v>
      </c>
      <c r="D4" s="4" t="s">
        <v>679</v>
      </c>
      <c r="E4" s="4" t="s">
        <v>680</v>
      </c>
    </row>
    <row r="5" spans="1:5" ht="20.100000000000001" customHeight="1" x14ac:dyDescent="0.25">
      <c r="A5" s="4" t="s">
        <v>681</v>
      </c>
      <c r="B5" s="4" t="s">
        <v>682</v>
      </c>
      <c r="C5" s="4" t="s">
        <v>683</v>
      </c>
      <c r="D5" s="4" t="s">
        <v>679</v>
      </c>
      <c r="E5" s="4" t="s">
        <v>684</v>
      </c>
    </row>
    <row r="6" spans="1:5" ht="20.100000000000001" customHeight="1" x14ac:dyDescent="0.25">
      <c r="A6" s="4" t="s">
        <v>685</v>
      </c>
      <c r="B6" s="4" t="s">
        <v>686</v>
      </c>
      <c r="C6" s="4" t="s">
        <v>687</v>
      </c>
      <c r="D6" s="4" t="s">
        <v>679</v>
      </c>
      <c r="E6" s="4" t="s">
        <v>688</v>
      </c>
    </row>
    <row r="7" spans="1:5" ht="20.100000000000001" customHeight="1" x14ac:dyDescent="0.25">
      <c r="A7" s="4" t="s">
        <v>689</v>
      </c>
      <c r="B7" s="4" t="s">
        <v>690</v>
      </c>
      <c r="C7" s="4" t="s">
        <v>691</v>
      </c>
      <c r="D7" s="4" t="s">
        <v>679</v>
      </c>
      <c r="E7" s="4" t="s">
        <v>692</v>
      </c>
    </row>
    <row r="8" spans="1:5" ht="20.100000000000001" customHeight="1" x14ac:dyDescent="0.25">
      <c r="A8" s="4" t="s">
        <v>693</v>
      </c>
      <c r="B8" s="4" t="s">
        <v>694</v>
      </c>
      <c r="C8" s="4" t="s">
        <v>695</v>
      </c>
      <c r="D8" s="4" t="s">
        <v>679</v>
      </c>
      <c r="E8" s="4" t="s">
        <v>696</v>
      </c>
    </row>
    <row r="9" spans="1:5" ht="20.100000000000001" customHeight="1" x14ac:dyDescent="0.25">
      <c r="A9" s="4" t="s">
        <v>697</v>
      </c>
      <c r="B9" s="4" t="s">
        <v>698</v>
      </c>
      <c r="C9" s="4" t="s">
        <v>699</v>
      </c>
      <c r="D9" s="4" t="s">
        <v>679</v>
      </c>
      <c r="E9" s="4" t="s">
        <v>700</v>
      </c>
    </row>
    <row r="10" spans="1:5" ht="20.100000000000001" customHeight="1" x14ac:dyDescent="0.25">
      <c r="A10" s="4" t="s">
        <v>701</v>
      </c>
      <c r="B10" s="4" t="s">
        <v>702</v>
      </c>
      <c r="C10" s="4" t="s">
        <v>703</v>
      </c>
      <c r="D10" s="4" t="s">
        <v>679</v>
      </c>
      <c r="E10" s="4" t="s">
        <v>704</v>
      </c>
    </row>
    <row r="11" spans="1:5" ht="20.100000000000001" customHeight="1" x14ac:dyDescent="0.25">
      <c r="A11" s="4" t="s">
        <v>705</v>
      </c>
      <c r="B11" s="4" t="s">
        <v>706</v>
      </c>
      <c r="C11" s="4" t="s">
        <v>707</v>
      </c>
      <c r="D11" s="4" t="s">
        <v>679</v>
      </c>
      <c r="E11" s="4" t="s">
        <v>708</v>
      </c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2026-09-12T23:25:49Z</dcterms:modified>
</cp:coreProperties>
</file>