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joe\quack\docs\discovery\"/>
    </mc:Choice>
  </mc:AlternateContent>
  <xr:revisionPtr revIDLastSave="0" documentId="13_ncr:1_{0884A0D0-C673-45F1-A31E-DC7B4C011127}" xr6:coauthVersionLast="47" xr6:coauthVersionMax="47" xr10:uidLastSave="{00000000-0000-0000-0000-000000000000}"/>
  <bookViews>
    <workbookView xWindow="25470" yWindow="0" windowWidth="25800" windowHeight="20880" activeTab="2" xr2:uid="{00000000-000D-0000-FFFF-FFFF00000000}"/>
  </bookViews>
  <sheets>
    <sheet name="Design Brief" sheetId="1" r:id="rId1"/>
    <sheet name="Scoping Questions" sheetId="2" r:id="rId2"/>
    <sheet name="Requirements" sheetId="3" r:id="rId3"/>
    <sheet name="Entities &amp; Access Patterns" sheetId="6" r:id="rId4"/>
    <sheet name="Scale and Estimates" sheetId="4" r:id="rId5"/>
    <sheet name="Decision Log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4" l="1"/>
  <c r="C45" i="4"/>
  <c r="C40" i="4"/>
  <c r="C33" i="4"/>
  <c r="C35" i="4" s="1"/>
  <c r="C37" i="4" s="1"/>
  <c r="C32" i="4"/>
  <c r="C34" i="4" s="1"/>
  <c r="C36" i="4" s="1"/>
  <c r="C38" i="4" s="1"/>
  <c r="C42" i="4" l="1"/>
  <c r="C43" i="4" s="1"/>
  <c r="C41" i="4"/>
  <c r="C39" i="4"/>
  <c r="C44" i="4"/>
</calcChain>
</file>

<file path=xl/sharedStrings.xml><?xml version="1.0" encoding="utf-8"?>
<sst xmlns="http://schemas.openxmlformats.org/spreadsheetml/2006/main" count="852" uniqueCount="675">
  <si>
    <t>Date Created</t>
  </si>
  <si>
    <t>Drafted By</t>
  </si>
  <si>
    <t>Last Updated</t>
  </si>
  <si>
    <t>Problem Statement</t>
  </si>
  <si>
    <t>Business Value</t>
  </si>
  <si>
    <t>The problem being solved, in one or two sentences, without naming a solution.</t>
  </si>
  <si>
    <t>Why this is worth building now and what it is worth if it works.</t>
  </si>
  <si>
    <t>Stakeholders</t>
  </si>
  <si>
    <t>Teams and individuals who own, fund, approve, or depend on this.</t>
  </si>
  <si>
    <t>ID</t>
  </si>
  <si>
    <t>Name or Team</t>
  </si>
  <si>
    <t>Role in This Design</t>
  </si>
  <si>
    <t>Notes</t>
  </si>
  <si>
    <t>STK-01</t>
  </si>
  <si>
    <t>Users and Personas</t>
  </si>
  <si>
    <t>Who uses the system, what they are doing, and what they are allowed to see.</t>
  </si>
  <si>
    <t>Persona</t>
  </si>
  <si>
    <t>What They Are Trying to Do</t>
  </si>
  <si>
    <t>Access Controls</t>
  </si>
  <si>
    <t>PER-01</t>
  </si>
  <si>
    <t>Workflows</t>
  </si>
  <si>
    <t>Named end to end flows this system supports, with a pointer to the diagram.</t>
  </si>
  <si>
    <t>Workflow</t>
  </si>
  <si>
    <t>Description</t>
  </si>
  <si>
    <t>Priority</t>
  </si>
  <si>
    <t>Diagram Location</t>
  </si>
  <si>
    <t>WFL-01</t>
  </si>
  <si>
    <t>Responsible Parties</t>
  </si>
  <si>
    <t>Who builds, runs, directs, and coordinates the work.</t>
  </si>
  <si>
    <t>Function</t>
  </si>
  <si>
    <t>Team or Group</t>
  </si>
  <si>
    <t>Named Owner</t>
  </si>
  <si>
    <t>RSP-01</t>
  </si>
  <si>
    <t>Tech Lead or Architect</t>
  </si>
  <si>
    <t>RSP-02</t>
  </si>
  <si>
    <t>Build Team</t>
  </si>
  <si>
    <t>RSP-03</t>
  </si>
  <si>
    <t>Run Team</t>
  </si>
  <si>
    <t>RSP-04</t>
  </si>
  <si>
    <t>Product Team</t>
  </si>
  <si>
    <t>RSP-05</t>
  </si>
  <si>
    <t>Project Management Team</t>
  </si>
  <si>
    <t>Dependencies</t>
  </si>
  <si>
    <t>Systems this one calls or is called by, and how they behave when they fail.</t>
  </si>
  <si>
    <t>System</t>
  </si>
  <si>
    <t>Direction</t>
  </si>
  <si>
    <t>What It Provides or Consumes</t>
  </si>
  <si>
    <t>Interface or Protocol</t>
  </si>
  <si>
    <t>Auth Method</t>
  </si>
  <si>
    <t>Rate Limits</t>
  </si>
  <si>
    <t>SLA</t>
  </si>
  <si>
    <t>Failure Behavior</t>
  </si>
  <si>
    <t>Owner</t>
  </si>
  <si>
    <t>DEP-01</t>
  </si>
  <si>
    <t>Success Criteria</t>
  </si>
  <si>
    <t>Measurable conditions that define done and working.</t>
  </si>
  <si>
    <t>Criterion</t>
  </si>
  <si>
    <t>Measure</t>
  </si>
  <si>
    <t>Target</t>
  </si>
  <si>
    <t>SC-01</t>
  </si>
  <si>
    <t>p50 latency</t>
  </si>
  <si>
    <t>ms</t>
  </si>
  <si>
    <t>SC-02</t>
  </si>
  <si>
    <t>p90 latency</t>
  </si>
  <si>
    <t>SC-03</t>
  </si>
  <si>
    <t>p99 latency</t>
  </si>
  <si>
    <t>SC-04</t>
  </si>
  <si>
    <t>Availability</t>
  </si>
  <si>
    <t>% uptime over stated period</t>
  </si>
  <si>
    <t>SC-05</t>
  </si>
  <si>
    <t>Error rate</t>
  </si>
  <si>
    <t>% of requests</t>
  </si>
  <si>
    <t>SC-06</t>
  </si>
  <si>
    <t>Peak throughput</t>
  </si>
  <si>
    <t>requests per second</t>
  </si>
  <si>
    <t>SC-07</t>
  </si>
  <si>
    <t>Data freshness or lag</t>
  </si>
  <si>
    <t>seconds</t>
  </si>
  <si>
    <t>SC-08</t>
  </si>
  <si>
    <t>Time to complete core workflow</t>
  </si>
  <si>
    <t>SC-09</t>
  </si>
  <si>
    <t>Cost per unit of load</t>
  </si>
  <si>
    <t>dollars per 1,000 requests</t>
  </si>
  <si>
    <t>Constraints</t>
  </si>
  <si>
    <t>Constraint</t>
  </si>
  <si>
    <t>Impact on Design</t>
  </si>
  <si>
    <t>Type</t>
  </si>
  <si>
    <t>CON-01</t>
  </si>
  <si>
    <t>Budget</t>
  </si>
  <si>
    <t>Expected cost by category, with the basis for each figure.</t>
  </si>
  <si>
    <t>Category</t>
  </si>
  <si>
    <t>Estimate</t>
  </si>
  <si>
    <t>Basis</t>
  </si>
  <si>
    <t>BUD-01</t>
  </si>
  <si>
    <t>Build cost (people)</t>
  </si>
  <si>
    <t>BUD-02</t>
  </si>
  <si>
    <t>Run cost (people)</t>
  </si>
  <si>
    <t>BUD-03</t>
  </si>
  <si>
    <t>Licensing and tool fees</t>
  </si>
  <si>
    <t>BUD-04</t>
  </si>
  <si>
    <t>Operating expense (annual)</t>
  </si>
  <si>
    <t>Assumptions</t>
  </si>
  <si>
    <t>Taken as true without confirmation, with what breaks if it is wrong.</t>
  </si>
  <si>
    <t>Assumption</t>
  </si>
  <si>
    <t>Impact if Wrong</t>
  </si>
  <si>
    <t>ASM-01</t>
  </si>
  <si>
    <t>Explicit Out of Scope</t>
  </si>
  <si>
    <t>What this design deliberately does not cover.</t>
  </si>
  <si>
    <t>Item</t>
  </si>
  <si>
    <t>Reason</t>
  </si>
  <si>
    <t>Revisit When</t>
  </si>
  <si>
    <t>OOS-01</t>
  </si>
  <si>
    <t>Key Risks</t>
  </si>
  <si>
    <t>Most likely to derail delivery or operation, with current mitigation.</t>
  </si>
  <si>
    <t>Risk</t>
  </si>
  <si>
    <t>Mitigation</t>
  </si>
  <si>
    <t>Likelihood</t>
  </si>
  <si>
    <t>Impact</t>
  </si>
  <si>
    <t>RSK-01</t>
  </si>
  <si>
    <t>Question</t>
  </si>
  <si>
    <t>Answer</t>
  </si>
  <si>
    <t>Framing</t>
  </si>
  <si>
    <t>What outcome would make this project a failure even if it ships?</t>
  </si>
  <si>
    <t>Scale</t>
  </si>
  <si>
    <t>How many users total, and how many active per day?</t>
  </si>
  <si>
    <t>What is the expected read to write ratio?</t>
  </si>
  <si>
    <t>What is peak versus average traffic, and what drives the peak?</t>
  </si>
  <si>
    <t>What growth do we design for over the next 12 to 24 months?</t>
  </si>
  <si>
    <t>How large is a typical payload, and what is the largest one allowed?</t>
  </si>
  <si>
    <t>Performance and Consistency</t>
  </si>
  <si>
    <t>Where is stale data acceptable, and where is it not?</t>
  </si>
  <si>
    <t>Where is strong consistency required, and where is eventual consistency fine?</t>
  </si>
  <si>
    <t>What does an hour of downtime cost the business?</t>
  </si>
  <si>
    <t>Resilience and Recovery</t>
  </si>
  <si>
    <t>What is the recovery time objective (RTO), the maximum tolerable outage?</t>
  </si>
  <si>
    <t>What is the recovery point objective (RPO), the maximum tolerable data loss?</t>
  </si>
  <si>
    <t>Is failover automatic or manual, and who declares it?</t>
  </si>
  <si>
    <t>Is a second region required, and is it active or standby?</t>
  </si>
  <si>
    <t>What does degraded operation look like, and which features may be shed?</t>
  </si>
  <si>
    <t>How often must backup restore be tested and proven?</t>
  </si>
  <si>
    <t>Data</t>
  </si>
  <si>
    <t>What data is this system the source of truth for?</t>
  </si>
  <si>
    <t>What data is derived or copied from somewhere else?</t>
  </si>
  <si>
    <t>What must be retained, for how long, and what gets deleted?</t>
  </si>
  <si>
    <t>What sensitive or personal data is involved, and how is it classified?</t>
  </si>
  <si>
    <t>Is a legal hold or immutable retention requirement in play?</t>
  </si>
  <si>
    <t>Security and Compliance</t>
  </si>
  <si>
    <t>Which laws, regulations, or internal policies apply, and who signs off?</t>
  </si>
  <si>
    <t>Does access need role based access control (RBAC), record level access, or both?</t>
  </si>
  <si>
    <t>Is this multi tenant, and how strict must tenant isolation be?</t>
  </si>
  <si>
    <t>What must be auditable, and who consumes the audit trail?</t>
  </si>
  <si>
    <t>Cost and Timeline</t>
  </si>
  <si>
    <t>Which costs scale with usage, and what drives them?</t>
  </si>
  <si>
    <t>What date drives the timeline, and what is fixed about it?</t>
  </si>
  <si>
    <t>What support model applies after launch, and what hours are covered?</t>
  </si>
  <si>
    <t>Functional Requirements</t>
  </si>
  <si>
    <t>What the system must do, one behavior per row.</t>
  </si>
  <si>
    <t>Requirement</t>
  </si>
  <si>
    <t>FR-01</t>
  </si>
  <si>
    <t>Must</t>
  </si>
  <si>
    <t>Non-Functional Requirements</t>
  </si>
  <si>
    <t>Qualities and standards the system must meet. Type: performance, availability, security, operability, compliance, cost, platform standard.</t>
  </si>
  <si>
    <t>Target or Measure</t>
  </si>
  <si>
    <t>NFR-01</t>
  </si>
  <si>
    <t>Performance</t>
  </si>
  <si>
    <t>One row per access pattern: what is read or written, by whom, and how often.</t>
  </si>
  <si>
    <t>Entity</t>
  </si>
  <si>
    <t>Key Attributes</t>
  </si>
  <si>
    <t>Access Pattern</t>
  </si>
  <si>
    <t>Frequency</t>
  </si>
  <si>
    <t>DE-01</t>
  </si>
  <si>
    <t>Future Considerations</t>
  </si>
  <si>
    <t>Needs that are not in scope now but should inform decisions made today.</t>
  </si>
  <si>
    <t>Anticipated Need</t>
  </si>
  <si>
    <t>Expected Timing</t>
  </si>
  <si>
    <t>Cost If Ignored</t>
  </si>
  <si>
    <t>FC-01</t>
  </si>
  <si>
    <t>Medium</t>
  </si>
  <si>
    <t>Inputs</t>
  </si>
  <si>
    <t>Fill in Value. Record where the number came from in Source or Assumption.</t>
  </si>
  <si>
    <t>Value</t>
  </si>
  <si>
    <t>Unit</t>
  </si>
  <si>
    <t>Source or Assumption</t>
  </si>
  <si>
    <t>Daily active users</t>
  </si>
  <si>
    <t>Users taking at least one action in a day.</t>
  </si>
  <si>
    <t>users</t>
  </si>
  <si>
    <t>Read actions per user per day</t>
  </si>
  <si>
    <t>User initiated reads such as page loads and searches.</t>
  </si>
  <si>
    <t>actions</t>
  </si>
  <si>
    <t>Write actions per user per day</t>
  </si>
  <si>
    <t>User initiated writes such as create, edit, send.</t>
  </si>
  <si>
    <t>API calls per read action</t>
  </si>
  <si>
    <t>Inbound API requests fired by one read action.</t>
  </si>
  <si>
    <t>calls</t>
  </si>
  <si>
    <t>API calls per write action</t>
  </si>
  <si>
    <t>Inbound API requests fired by one write action.</t>
  </si>
  <si>
    <t>Backend ops per read API call</t>
  </si>
  <si>
    <t>Data store reads triggered by one read request.</t>
  </si>
  <si>
    <t>ops</t>
  </si>
  <si>
    <t>Backend ops per write API call</t>
  </si>
  <si>
    <t>Data store operations triggered by one write request.</t>
  </si>
  <si>
    <t>Peak to average ratio</t>
  </si>
  <si>
    <t>Multiplier from daily average to busiest period.</t>
  </si>
  <si>
    <t>x</t>
  </si>
  <si>
    <t>Average request payload size</t>
  </si>
  <si>
    <t>Typical inbound request body size.</t>
  </si>
  <si>
    <t>KB</t>
  </si>
  <si>
    <t>Average response payload size</t>
  </si>
  <si>
    <t>Typical response body returned to the client.</t>
  </si>
  <si>
    <t>Maximum request payload size</t>
  </si>
  <si>
    <t>Largest request the system must accept.</t>
  </si>
  <si>
    <t>Maximum response payload size</t>
  </si>
  <si>
    <t>Largest response the system will return.</t>
  </si>
  <si>
    <t>Bytes stored per write</t>
  </si>
  <si>
    <t>Durable bytes added by one write action.</t>
  </si>
  <si>
    <t>Retention period</t>
  </si>
  <si>
    <t>How long stored data is kept before deletion.</t>
  </si>
  <si>
    <t>days</t>
  </si>
  <si>
    <t>Storage overhead factor</t>
  </si>
  <si>
    <t>Multiplier for indexes, replicas, and backups.</t>
  </si>
  <si>
    <t>Hot data share</t>
  </si>
  <si>
    <t>Portion of stored data read often enough to cache.</t>
  </si>
  <si>
    <t>%</t>
  </si>
  <si>
    <t>Calculated</t>
  </si>
  <si>
    <t>Computed from the inputs above. Result shows Missing Info until every input it needs has a value. Do not edit the shaded column.</t>
  </si>
  <si>
    <t>Result</t>
  </si>
  <si>
    <t>Formula</t>
  </si>
  <si>
    <t>Daily read API calls</t>
  </si>
  <si>
    <t>Read requests hitting the API in a day.</t>
  </si>
  <si>
    <t>calls/day</t>
  </si>
  <si>
    <t>Daily active users x read actions x API calls per read action</t>
  </si>
  <si>
    <t>Daily write API calls</t>
  </si>
  <si>
    <t>Write requests hitting the API in a day.</t>
  </si>
  <si>
    <t>Daily active users x write actions x API calls per write action</t>
  </si>
  <si>
    <t>Average read RPS at API</t>
  </si>
  <si>
    <t>Read requests per second averaged over the day.</t>
  </si>
  <si>
    <t>req/s</t>
  </si>
  <si>
    <t>Daily read API calls / 86,400 seconds per day</t>
  </si>
  <si>
    <t>Average write RPS at API</t>
  </si>
  <si>
    <t>Write requests per second averaged over the day.</t>
  </si>
  <si>
    <t>Daily write API calls / 86,400 seconds per day</t>
  </si>
  <si>
    <t>Peak read RPS at API</t>
  </si>
  <si>
    <t>Read requests per second at the busiest period.</t>
  </si>
  <si>
    <t>Average read RPS x peak to average ratio</t>
  </si>
  <si>
    <t>Peak write RPS at API</t>
  </si>
  <si>
    <t>Write requests per second at the busiest period.</t>
  </si>
  <si>
    <t>Average write RPS x peak to average ratio</t>
  </si>
  <si>
    <t>Peak backend read ops per sec</t>
  </si>
  <si>
    <t>Data store reads per second at peak.</t>
  </si>
  <si>
    <t>ops/s</t>
  </si>
  <si>
    <t>Peak read RPS x backend ops per read API call</t>
  </si>
  <si>
    <t>Peak backend write ops per sec</t>
  </si>
  <si>
    <t>Data store operations per second at peak from writes.</t>
  </si>
  <si>
    <t>Peak write RPS x backend ops per write API call</t>
  </si>
  <si>
    <t>Daily storage growth</t>
  </si>
  <si>
    <t>New durable data added per day.</t>
  </si>
  <si>
    <t>GB/day</t>
  </si>
  <si>
    <t>Daily active users x write actions x bytes per write / 1,048,576 KB per GB</t>
  </si>
  <si>
    <t>Annual storage growth</t>
  </si>
  <si>
    <t>New durable data added per year.</t>
  </si>
  <si>
    <t>GB/yr</t>
  </si>
  <si>
    <t>Daily storage growth x 365</t>
  </si>
  <si>
    <t>Retention volume</t>
  </si>
  <si>
    <t>Total stored at the retention limit, including overhead.</t>
  </si>
  <si>
    <t>GB</t>
  </si>
  <si>
    <t>Daily storage growth x retention days x storage overhead factor</t>
  </si>
  <si>
    <t>Hot data volume</t>
  </si>
  <si>
    <t>Portion of stored data that must stay fast to read.</t>
  </si>
  <si>
    <t>Retention volume x hot data share</t>
  </si>
  <si>
    <t>Decision Log</t>
  </si>
  <si>
    <t>One row per decision that would be expensive to reverse. Options and rationale live in the linked ADR.</t>
  </si>
  <si>
    <t>Decision</t>
  </si>
  <si>
    <t>Choice</t>
  </si>
  <si>
    <t>Date</t>
  </si>
  <si>
    <t>ADR</t>
  </si>
  <si>
    <t>DL-01</t>
  </si>
  <si>
    <t>Event transport between order service and fulfillment</t>
  </si>
  <si>
    <t>EventBridge</t>
  </si>
  <si>
    <t>2026-01-15</t>
  </si>
  <si>
    <t>docs/adr/ADR-004-event-transport.md</t>
  </si>
  <si>
    <t>Joe Martin</t>
  </si>
  <si>
    <t>A basis to demonstrate, discuss, and ideate on the approach and design for a chat service. Decisions trace to code and to a working demo.</t>
  </si>
  <si>
    <t>Small groups, known as flocks, need a simple way to talk to each other in real time.</t>
  </si>
  <si>
    <t>STK-02</t>
  </si>
  <si>
    <t>STK-03</t>
  </si>
  <si>
    <t>STK-04</t>
  </si>
  <si>
    <t>Principal Engineer</t>
  </si>
  <si>
    <t>Director of Engineering</t>
  </si>
  <si>
    <t>Position</t>
  </si>
  <si>
    <t>TBD</t>
  </si>
  <si>
    <t>VP of Engineering</t>
  </si>
  <si>
    <t>Executive Sponsor</t>
  </si>
  <si>
    <t>Delivery Owner</t>
  </si>
  <si>
    <t>Architectural Oversight</t>
  </si>
  <si>
    <t>Tech Lead</t>
  </si>
  <si>
    <t>Some guy they met</t>
  </si>
  <si>
    <t>Flock Owner</t>
  </si>
  <si>
    <t>PER-02</t>
  </si>
  <si>
    <t>PER-03</t>
  </si>
  <si>
    <t>Manage flocks they create</t>
  </si>
  <si>
    <t>Users are the Flock Owners for flocks they create. Non-delegable v1.</t>
  </si>
  <si>
    <t>Sign in</t>
  </si>
  <si>
    <t>Create flock</t>
  </si>
  <si>
    <t>List flocks</t>
  </si>
  <si>
    <t>Add member</t>
  </si>
  <si>
    <t>Member</t>
  </si>
  <si>
    <t>Duck</t>
  </si>
  <si>
    <t>User authenticated with access to system</t>
  </si>
  <si>
    <t>List, post messages to, retrieve messages from accessible flocks</t>
  </si>
  <si>
    <t>Interact with other members of their flocks</t>
  </si>
  <si>
    <t>Google ID token verified; user record upserted; become a Duck</t>
  </si>
  <si>
    <t>Duck creates a named flock and is added as the Flock Owner</t>
  </si>
  <si>
    <t>Member lists his flocks</t>
  </si>
  <si>
    <t xml:space="preserve">Member adds another Duck to the flock </t>
  </si>
  <si>
    <t>Send message</t>
  </si>
  <si>
    <t>Member posts a message to a flock which is received by all other members of flock</t>
  </si>
  <si>
    <t>Load history</t>
  </si>
  <si>
    <t>Recent messages load when a flock opens</t>
  </si>
  <si>
    <t>Delete flock</t>
  </si>
  <si>
    <t>Connect and disconnect</t>
  </si>
  <si>
    <t>Flock Owner deletes the flock</t>
  </si>
  <si>
    <t>Duck establishes real-time session which is cleaned up on close</t>
  </si>
  <si>
    <t>WFL-02</t>
  </si>
  <si>
    <t>WFL-03</t>
  </si>
  <si>
    <t>WFL-04</t>
  </si>
  <si>
    <t>WFL-05</t>
  </si>
  <si>
    <t>WFL-06</t>
  </si>
  <si>
    <t>WFL-07</t>
  </si>
  <si>
    <t>WFL-08</t>
  </si>
  <si>
    <t>N/A</t>
  </si>
  <si>
    <t>Non-productional demo</t>
  </si>
  <si>
    <t>The Mighty Ducks</t>
  </si>
  <si>
    <t>Google Identity (OpenID Connect)</t>
  </si>
  <si>
    <t>Client calls Google for the ID token; service fetches Google public keys to verify it</t>
  </si>
  <si>
    <t>Provides verified user identity: subject, email, name</t>
  </si>
  <si>
    <t>OIDC ID token (JWT); JWKS over HTTPS</t>
  </si>
  <si>
    <t>OAuth 2.0 web client ID</t>
  </si>
  <si>
    <t>Sign-in fails; verified sessions continue until token expiry</t>
  </si>
  <si>
    <t>None published for Sign in with Google. 99.95% SLA is for Identity Platform, a separate product not used here</t>
  </si>
  <si>
    <t>Google (external)
Joe Martin (internal)</t>
  </si>
  <si>
    <t>Measure only</t>
  </si>
  <si>
    <t>This is a PoC. Bugs are inspected.</t>
  </si>
  <si>
    <t>Improves after CON-03 is removed.</t>
  </si>
  <si>
    <t>CON-03</t>
  </si>
  <si>
    <t>Send to receipt in a second session</t>
  </si>
  <si>
    <t>Sign-in to first message received</t>
  </si>
  <si>
    <t>CON-02</t>
  </si>
  <si>
    <t>CON-04</t>
  </si>
  <si>
    <t>CON-05</t>
  </si>
  <si>
    <t>Timebox 2026-09-12 to 2026-09-13</t>
  </si>
  <si>
    <t>MVP only; cuts named in PLAN.md</t>
  </si>
  <si>
    <t>Timeline</t>
  </si>
  <si>
    <t>One person builds and runs</t>
  </si>
  <si>
    <t>No parallel work; simplest sufficient design</t>
  </si>
  <si>
    <t>Capacity</t>
  </si>
  <si>
    <t>AWS, single account, single region</t>
  </si>
  <si>
    <t>AWS services only; no multi-region; availability bounded by regional service SLAs</t>
  </si>
  <si>
    <t>CDK and TypeScript</t>
  </si>
  <si>
    <t>All infrastructure as CDK code; one language across infrastructure and application</t>
  </si>
  <si>
    <t>Platform</t>
  </si>
  <si>
    <t>No hosted user pool; Google OIDC only</t>
  </si>
  <si>
    <t>Token verification lives in the service</t>
  </si>
  <si>
    <t>Mitigaging with agentic support</t>
  </si>
  <si>
    <t>CON-06</t>
  </si>
  <si>
    <t>Minimal dependencies</t>
  </si>
  <si>
    <t>AWS primitives and standard library over third-party packages</t>
  </si>
  <si>
    <t>Fixed limits on the design: timeline, capacity, platform, compliance, dependencies, standards.</t>
  </si>
  <si>
    <t>Standards</t>
  </si>
  <si>
    <t>19 hours</t>
  </si>
  <si>
    <t>Plan.md phase budget combined</t>
  </si>
  <si>
    <t>No paid tools; opex only</t>
  </si>
  <si>
    <t>Every user has a Google account</t>
  </si>
  <si>
    <t>No other sign-in path exists</t>
  </si>
  <si>
    <t>Personal experience</t>
  </si>
  <si>
    <t>Current browsers support the chosen real-time transport</t>
  </si>
  <si>
    <t>Current browsers support this feature</t>
  </si>
  <si>
    <t>ASM-02</t>
  </si>
  <si>
    <t>ASM-03</t>
  </si>
  <si>
    <t>Client falls back or transport changes</t>
  </si>
  <si>
    <t>Messages are text only, at most 4,000 characters</t>
  </si>
  <si>
    <t>Stays under 16 KB in 4-byte Unicode</t>
  </si>
  <si>
    <t>Item size limits in the data model change</t>
  </si>
  <si>
    <t>Timebox; not needed to demonstrate real-time messaging</t>
  </si>
  <si>
    <t>After MVP</t>
  </si>
  <si>
    <t>OOS-02</t>
  </si>
  <si>
    <t>Typing indicators</t>
  </si>
  <si>
    <t>OOS-03</t>
  </si>
  <si>
    <t>Read state</t>
  </si>
  <si>
    <t>OOS-04</t>
  </si>
  <si>
    <t>Search</t>
  </si>
  <si>
    <t>OOS-05</t>
  </si>
  <si>
    <t>File sharing</t>
  </si>
  <si>
    <t>OOS-06</t>
  </si>
  <si>
    <t>Notifications</t>
  </si>
  <si>
    <t>OOS-07</t>
  </si>
  <si>
    <t>Threads</t>
  </si>
  <si>
    <t>OOS-08</t>
  </si>
  <si>
    <t>Message editing</t>
  </si>
  <si>
    <t>OOS-09</t>
  </si>
  <si>
    <t>Multi-tenancy</t>
  </si>
  <si>
    <t>Single tenant required; tenant key kept in the data model</t>
  </si>
  <si>
    <t>Named future enhancement</t>
  </si>
  <si>
    <t>Presence/Status</t>
  </si>
  <si>
    <t>Real-time transport (auth on connect, fan-out) overruns Phase 3</t>
  </si>
  <si>
    <t>Flows designed first; web client polish is the named cut</t>
  </si>
  <si>
    <t>High</t>
  </si>
  <si>
    <t>Joe</t>
  </si>
  <si>
    <t>RSK-02</t>
  </si>
  <si>
    <t>ID token verification errors (audience, issuer, key rotation)</t>
  </si>
  <si>
    <t>Follow Google's documented checks; negative cases tested in Phase 3 Step 4</t>
  </si>
  <si>
    <t>RSK-03</t>
  </si>
  <si>
    <t>Web client scope creeps</t>
  </si>
  <si>
    <t>RSK-04</t>
  </si>
  <si>
    <t>Doc rules broken at publish</t>
  </si>
  <si>
    <t>Phase 4 Step 3 grep and review</t>
  </si>
  <si>
    <t>Low</t>
  </si>
  <si>
    <t>Cut candidates as described in PLAN.md</t>
  </si>
  <si>
    <t>For created flocks: delete flock;</t>
  </si>
  <si>
    <t>Donald Duck</t>
  </si>
  <si>
    <t>Daffy Duck</t>
  </si>
  <si>
    <t>Howard the Duck</t>
  </si>
  <si>
    <t>No run team</t>
  </si>
  <si>
    <t>None published</t>
  </si>
  <si>
    <t>Daisy Duck</t>
  </si>
  <si>
    <t>Priced in Phase 2 once the architecture is chosen; Scale sheet supplies the volumes. Filled in Step 4</t>
  </si>
  <si>
    <t>Priced in Phase 2 once the architecture is chosen</t>
  </si>
  <si>
    <t>OOS-10</t>
  </si>
  <si>
    <t>It ships but a reader cannot follow a decision from its record to the code and to the running demo; or two browsers cannot exchange a message live.</t>
  </si>
  <si>
    <t>Ties to Business Value on the Design Brief.</t>
  </si>
  <si>
    <t>Total Users: N/A
DAU: 12M</t>
  </si>
  <si>
    <t>Slack, October 2019: https://slack.com/intl/en-gb/blog/news/intl-en-gb-work-is-fuelled-by-true-engagement</t>
  </si>
  <si>
    <t xml:space="preserve">3 reads to 1 write. </t>
  </si>
  <si>
    <t>Derived: 1 billion messages per week over 10 million DAU is about 14 sends per user per day (S-1, https://www.sec.gov/Archives/edgar/data/1764925/000162828019004786/slacks-1.htm). 5 billion actions per week over 12 million DAU is about 60 actions per user per day (https://slack.com/intl/en-gb/blog/news/intl-en-gb-work-is-fuelled-by-true-engagement); the remainder after sends is treated as reads.~46 read actions and 14 write actions per active user per day.</t>
  </si>
  <si>
    <t>Assumptions from ASM-03 and the history page size of 50.</t>
  </si>
  <si>
    <t>Typical request: 0.2 KB (one message)
Typical response: 12 KB (a page of 50 messages)
Largest request: 17 KB (4,000 chars @ 4 bytes plus envelope)
Largest response 850 KB (50 maximum-size messages).</t>
  </si>
  <si>
    <t xml:space="preserve">Slack, September 2019: 12 million daily active users, a 37% year-over-year increase. https://www.ciodive.com/news/slack-hits-12m-daily-active-users-on-the-heels-of-microsoft-teams/564841/ </t>
  </si>
  <si>
    <t>37%/year</t>
  </si>
  <si>
    <t>Acceptable: the flock list and a history page may lag a new write by seconds. Not acceptable: a member seeing a flock they were never added to, or a message appearing in the wrong flock.</t>
  </si>
  <si>
    <t>Strong: membership checks before any read or write, and the delete of a flock. Eventual: history pages, flock lists, and the live feed.</t>
  </si>
  <si>
    <t>Nothing in money. An hour down during a demonstration costs the demonstration.</t>
  </si>
  <si>
    <t>5 mins for demo. See OOS-10.</t>
  </si>
  <si>
    <t>1 sec*</t>
  </si>
  <si>
    <t>1 min*</t>
  </si>
  <si>
    <t>Automatic. Health check routing automation initiaties cutover.*</t>
  </si>
  <si>
    <t>60 mins for demo. See OOS-10.</t>
  </si>
  <si>
    <t>Point-in-time recovery lags up to 5 minutes; closing the gap needs a change stream and replay; RTO requires live-live environment. No failover.</t>
  </si>
  <si>
    <t>No failover for demo. See OOS-10</t>
  </si>
  <si>
    <t>Yes. Active*</t>
  </si>
  <si>
    <t>No second region for demo. See OOS-10</t>
  </si>
  <si>
    <t>Live delivery down: the client still sends and reads through the HTTP API; history reloads on open. 
Google sign-in down: new sign-ins fail; sessions with a valid token continue until it expires. 
Nothing else is shed; there are no optional features.</t>
  </si>
  <si>
    <t>Quarterly*</t>
  </si>
  <si>
    <t>Not included in demo. See OOS-10</t>
  </si>
  <si>
    <t>Users as known to this service, flocks, memberships, messages, and live connections.</t>
  </si>
  <si>
    <t>User identity (Google subject, email, display name) is copied from the Google ID token at sign-in.</t>
  </si>
  <si>
    <t>Deleting a flock deletes its messages and memberships. Live connection records are removed on disconnect. Nothing else is deleted.</t>
  </si>
  <si>
    <t>Personal data: Google subject, email, display name. Message text is user content. Classified external; no explicit payment, health, or regulated data requested by product.</t>
  </si>
  <si>
    <t>No</t>
  </si>
  <si>
    <t>OOS-11</t>
  </si>
  <si>
    <t>No compliance program (GDPR, CCPA, SOC 2); owner and member roles only, no admin role; request logs only, no exportable audit log. Tenancy is OOS-09.</t>
  </si>
  <si>
    <t>GDPR and CCPA; SOC 2 Type II as the control framework. Privacy Operations owner TBD*</t>
  </si>
  <si>
    <t>Not in demo. See OOS-11.</t>
  </si>
  <si>
    <t>Record level. Flock membership for read and write; ownership for delete.</t>
  </si>
  <si>
    <t>Multi-tenant with strict isolation: every query scoped by tenant.*</t>
  </si>
  <si>
    <t>Single tenant in demo, but with data model shaped to include tenancy. See OOS-09.</t>
  </si>
  <si>
    <t xml:space="preserve">Sign-ins, flock create and delete, and member additions. Non-deleted message history only. Compliance officers TBD. </t>
  </si>
  <si>
    <t>No audit in demo. See OOS-11.</t>
  </si>
  <si>
    <t>2026-09-13, end of the weekend timebox. Fixed by constraint CON-01. The demo then runs one month.</t>
  </si>
  <si>
    <t>Best effort</t>
  </si>
  <si>
    <t>A user signs in with a Google account. The service verifies the Google ID token and creates or updates the user record.</t>
  </si>
  <si>
    <t>FR-02</t>
  </si>
  <si>
    <t>A signed-in user creates a flock by name. The creator becomes the Flock Owner and a member.</t>
  </si>
  <si>
    <t>FR-03</t>
  </si>
  <si>
    <t>A member lists the flocks they belong to.</t>
  </si>
  <si>
    <t>FR-04</t>
  </si>
  <si>
    <t>A member adds any signed-in user to a flock they belong to.</t>
  </si>
  <si>
    <t>FR-05</t>
  </si>
  <si>
    <t>A member sends a text message of up to 4,000 characters to a flock they belong to.</t>
  </si>
  <si>
    <t>WFL-05; ASM-03</t>
  </si>
  <si>
    <t>FR-06</t>
  </si>
  <si>
    <t>Connected members of a flock receive each new message without refreshing.</t>
  </si>
  <si>
    <t>WFL-05, WFL-07</t>
  </si>
  <si>
    <t>FR-07</t>
  </si>
  <si>
    <t>A member opening a flock receives its 50 most recent messages in send order.</t>
  </si>
  <si>
    <t>FR-08</t>
  </si>
  <si>
    <t>The Flock Owner deletes the flock. Its messages and memberships are deleted with it.</t>
  </si>
  <si>
    <t>FR-09</t>
  </si>
  <si>
    <t>The service rejects any read or write of a flock by a non-member and any delete by a non-owner.</t>
  </si>
  <si>
    <t>Enforced server side; negative cases verified in Phase 3</t>
  </si>
  <si>
    <t>FR-10</t>
  </si>
  <si>
    <t>A web client exercises every user-facing functional requirement from a browser.</t>
  </si>
  <si>
    <t>Phase 3 web client step</t>
  </si>
  <si>
    <t>HTTP API latency measured from the client.</t>
  </si>
  <si>
    <t>p50 500 ms, p90 1,000 ms, p99 2,000 ms</t>
  </si>
  <si>
    <t>SC-01 to SC-03; assumptions until the Phase 3 load test</t>
  </si>
  <si>
    <t>NFR-02</t>
  </si>
  <si>
    <t>A sent message reaches connected members.</t>
  </si>
  <si>
    <t>Under 1 second from send to receipt in a second session</t>
  </si>
  <si>
    <t>NFR-03</t>
  </si>
  <si>
    <t>The service is available.</t>
  </si>
  <si>
    <t>99.9% monthly uptime</t>
  </si>
  <si>
    <t>SC-04; bounded by regional service SLAs under CON-03</t>
  </si>
  <si>
    <t>NFR-04</t>
  </si>
  <si>
    <t>The service scales to peak without manual action.</t>
  </si>
  <si>
    <t>NFR-05</t>
  </si>
  <si>
    <t>Every request is authorized server side.</t>
  </si>
  <si>
    <t>Security</t>
  </si>
  <si>
    <t>Membership checked before any flock read or write; ownership before delete. WebSockets authorized when opened.</t>
  </si>
  <si>
    <t>NFR-06</t>
  </si>
  <si>
    <t>ID tokens are verified against Google's published keys.</t>
  </si>
  <si>
    <t>Signature, issuer, audience, and expiry checked; keys cached per Cache-Control</t>
  </si>
  <si>
    <t>NFR-07</t>
  </si>
  <si>
    <t>No credentials are stored.</t>
  </si>
  <si>
    <t>Only Google subject, email, and display name are held</t>
  </si>
  <si>
    <t>NFR-08</t>
  </si>
  <si>
    <t>The service is recoverable.</t>
  </si>
  <si>
    <t>Operability</t>
  </si>
  <si>
    <t>NFR-09</t>
  </si>
  <si>
    <t>Every request is logged.</t>
  </si>
  <si>
    <t>Structured log line with user, flock, action, outcome*</t>
  </si>
  <si>
    <t>NFR-10</t>
  </si>
  <si>
    <t>Stored items fit the data store.</t>
  </si>
  <si>
    <t>Platform standard</t>
  </si>
  <si>
    <t>A message item stays under the 400 KB item limit</t>
  </si>
  <si>
    <t>https://docs.aws.amazon.com/amazondynamodb/latest/developerguide/Constraints.html</t>
  </si>
  <si>
    <t>NFR-11</t>
  </si>
  <si>
    <t>Record-level tenant isolation</t>
  </si>
  <si>
    <t>Every record carries the tenant key. One hardcoded tenant is used.</t>
  </si>
  <si>
    <t>OOS-09; FC-01</t>
  </si>
  <si>
    <t>12 to 24 months</t>
  </si>
  <si>
    <t>Key rewrite and data migration if the tenant key is absent from any key</t>
  </si>
  <si>
    <t>Tenant key in every key now; nothing else built</t>
  </si>
  <si>
    <t>FC-02</t>
  </si>
  <si>
    <t>Read state (unread flag per flock)</t>
  </si>
  <si>
    <t>Small: a last-read timestamp on the membership record</t>
  </si>
  <si>
    <t>FC-03</t>
  </si>
  <si>
    <t>Second region</t>
  </si>
  <si>
    <t>After CON-03 is lifted</t>
  </si>
  <si>
    <t>Minor rework of keys. Additive, likely non-breaking.</t>
  </si>
  <si>
    <t>Identifiers and keys must not assume one region</t>
  </si>
  <si>
    <t>FC-04</t>
  </si>
  <si>
    <t>Retention policy and message deletion</t>
  </si>
  <si>
    <t>Unknown</t>
  </si>
  <si>
    <t>No rework, addititive only.</t>
  </si>
  <si>
    <t>Table scan to purge if no expiry attribute exists</t>
  </si>
  <si>
    <t>FC-05</t>
  </si>
  <si>
    <t>Remove member or leave flock</t>
  </si>
  <si>
    <t>A membership delete path and a client control</t>
  </si>
  <si>
    <t>FC-06</t>
  </si>
  <si>
    <t>Change log for sub-5-minute recovery from data corruption</t>
  </si>
  <si>
    <t>If the demo outlives one month or the RPO must hold for code and operator error</t>
  </si>
  <si>
    <t>DynamoDB Streams to a durable sink such as S3 through Firehose; after a restore, replay the gap. Keep the write path behind one module so the stream can be added without touching handlers. https://docs.aws.amazon.com/amazondynamodb/latest/developerguide/PointInTimeRecovery_Howitworks.html</t>
  </si>
  <si>
    <t>Data Entities</t>
  </si>
  <si>
    <t>One row per data entity</t>
  </si>
  <si>
    <t>A person who has signed in</t>
  </si>
  <si>
    <t>tenantId, duckId, googleSubject, email, displayName, createdAt</t>
  </si>
  <si>
    <t>Identity copied from the Google ID token at sign-in</t>
  </si>
  <si>
    <t>DE-02</t>
  </si>
  <si>
    <t>Flock</t>
  </si>
  <si>
    <t>A named channel</t>
  </si>
  <si>
    <t>tenantId, flockId, name, ownerId, createdAt</t>
  </si>
  <si>
    <t>ownerId is the creator; ownership is not transferable</t>
  </si>
  <si>
    <t>DE-03</t>
  </si>
  <si>
    <t>Membership</t>
  </si>
  <si>
    <t>A user belongs to a flock</t>
  </si>
  <si>
    <t>tenantId, flockId, duckId, addedBy, addedAt</t>
  </si>
  <si>
    <t>DE-04</t>
  </si>
  <si>
    <t>Message</t>
  </si>
  <si>
    <t>One text message in a flock</t>
  </si>
  <si>
    <t>tenantId, flockId, messageId (time ordered), senderId (duckId), text, createdAt</t>
  </si>
  <si>
    <t>text at most 4,000 characters (ASM-03); item stays under the 400 KB limit (NFR-10)</t>
  </si>
  <si>
    <t>DE-05</t>
  </si>
  <si>
    <t>Connection</t>
  </si>
  <si>
    <t>A live session for one user</t>
  </si>
  <si>
    <t>tenantId, connectionId, duckId, createdAt</t>
  </si>
  <si>
    <t>Data Access Patterns</t>
  </si>
  <si>
    <t>Entity ID</t>
  </si>
  <si>
    <t>AP-01</t>
  </si>
  <si>
    <t>Upsert user on sign-in</t>
  </si>
  <si>
    <t>AP-02</t>
  </si>
  <si>
    <t>One per add member</t>
  </si>
  <si>
    <t>AP-03</t>
  </si>
  <si>
    <t>Assumption: 1 flock created per 100 active users per day</t>
  </si>
  <si>
    <t>AP-04</t>
  </si>
  <si>
    <t>Read one flock by flockId</t>
  </si>
  <si>
    <t>16,700 per second at peak</t>
  </si>
  <si>
    <t>AP-05</t>
  </si>
  <si>
    <t>Assumption: 1 in 10 flocks is eventually deleted; cascades to AP-10 and AP-13</t>
  </si>
  <si>
    <t>AP-06</t>
  </si>
  <si>
    <t>Check membership of one user in one flock</t>
  </si>
  <si>
    <t>Every read and write: Scale sheet peak read plus write RPS</t>
  </si>
  <si>
    <t>AP-07</t>
  </si>
  <si>
    <t>List flocks for a user</t>
  </si>
  <si>
    <t>AP-08</t>
  </si>
  <si>
    <t>List members of a flock</t>
  </si>
  <si>
    <t>One per send: Scale sheet peak write RPS</t>
  </si>
  <si>
    <t>AP-09</t>
  </si>
  <si>
    <t>Add membership</t>
  </si>
  <si>
    <t>Assumption: 5 members added per flock created</t>
  </si>
  <si>
    <t>AP-10</t>
  </si>
  <si>
    <t>Delete all memberships in a flock</t>
  </si>
  <si>
    <t>One per flock delete, many items each</t>
  </si>
  <si>
    <t>AP-11</t>
  </si>
  <si>
    <t>Put message</t>
  </si>
  <si>
    <t>Scale sheet peak write RPS</t>
  </si>
  <si>
    <t>AP-12</t>
  </si>
  <si>
    <t>Read latest 50 messages in a flock, newest first</t>
  </si>
  <si>
    <t>One per flock open</t>
  </si>
  <si>
    <t>AP-13</t>
  </si>
  <si>
    <t>Delete all messages in a flock</t>
  </si>
  <si>
    <t>AP-14</t>
  </si>
  <si>
    <t>Put on connect; delete on disconnect</t>
  </si>
  <si>
    <t>1,700 per second at steady state</t>
  </si>
  <si>
    <t>12,000,000 users divided by the 7,200 second connection cap; higher at start of day. https://docs.aws.amazon.com/apigateway/latest/developerguide/apigateway-execution-service-websocket-limits-table.html</t>
  </si>
  <si>
    <t>AP-15</t>
  </si>
  <si>
    <t>List connections for a set of users</t>
  </si>
  <si>
    <t>One per send; feeds deliveries: sends times connected recipients</t>
  </si>
  <si>
    <t>280 per second at peak</t>
  </si>
  <si>
    <t>12,000,000 sign-ins per day at the 2x peak ratio</t>
  </si>
  <si>
    <t>14 per second at peak</t>
  </si>
  <si>
    <t>3 per second at peak</t>
  </si>
  <si>
    <t>11,100 per second at peak</t>
  </si>
  <si>
    <t>0.3 per second at peak</t>
  </si>
  <si>
    <t>1,400 per second at peak</t>
  </si>
  <si>
    <t xml:space="preserve">2 x daily average. </t>
  </si>
  <si>
    <t>Driver: time zone overlap. Users are global, so a day of traffic spreads across the clock; the busiest moment is the US morning and Europe afternoon overlap. Derived on the Scale sheet: share connected at peak (0.7) over the average share connected (9 of 24 hours). Peak fan-out deliveries (sends times connected recipients) is the number that binds.</t>
  </si>
  <si>
    <t>Slack, October 2019: more than 12 million daily active users. https://slack.com/intl/en-gb/blog/news/intl-en-gb-work-is-fuelled-by-true-engagement</t>
  </si>
  <si>
    <t>Assumption: one request per list or history load.</t>
  </si>
  <si>
    <t>Assumption: one request per send, create, or add.</t>
  </si>
  <si>
    <t>Assumption: membership check plus one query.</t>
  </si>
  <si>
    <t>Assumption: membership check, one put, one connection lookup for fan-out.</t>
  </si>
  <si>
    <t>Derived: share of users connected at peak (0.7, row 22) divided by the average share connected (9 of 24 hours, 0.375) is 1.87, rounded up. Users are global, so a day of traffic spreads across the clock.</t>
  </si>
  <si>
    <t>Assumption: one short message plus JSON envelope.</t>
  </si>
  <si>
    <t>Assumption: 50 messages at about 0.25 KB each.</t>
  </si>
  <si>
    <t>ASM-03: 4,000 characters at 4 bytes each plus envelope.</t>
  </si>
  <si>
    <t>Assumption: 50 messages at the 17 KB maximum.</t>
  </si>
  <si>
    <t>Assumption: message text plus keys and attributes.</t>
  </si>
  <si>
    <t>Assumption: table plus point-in-time recovery copy. Replicas across availability zones are not billed separately (https://aws.amazon.com/dynamodb/pricing/on-demand/).</t>
  </si>
  <si>
    <t>Assumption: only recent messages are read. Entered as a fraction because the formula multiplies directly.</t>
  </si>
  <si>
    <t>Fan-out recipients per message</t>
  </si>
  <si>
    <t>Connected members who receive one message.</t>
  </si>
  <si>
    <t>recipients</t>
  </si>
  <si>
    <t>Assumption: no published average channel size. Reasoning: a typical active flock of 10 to 15 members with 70 to 80 percent connected at peak.</t>
  </si>
  <si>
    <t>Connected hours per DAU per day</t>
  </si>
  <si>
    <t>Hours a live connection is open per active user.</t>
  </si>
  <si>
    <t>hours</t>
  </si>
  <si>
    <t>Slack, October 2019: more than 9 hours per working day connected. https://slack.com/intl/en-gb/blog/news/intl-en-gb-work-is-fuelled-by-true-engagement</t>
  </si>
  <si>
    <t>Share of users connected at peak</t>
  </si>
  <si>
    <t>Portion of daily active users connected at the busiest moment.</t>
  </si>
  <si>
    <t>fraction</t>
  </si>
  <si>
    <t>Assumption: more than half of users are outside the US across 150-plus countries (https://slack.com/blog/news/slack-has-10-million-daily-active-users). At the US morning and Europe afternoon overlap, the US half and most of Europe are on and Asia Pacific is off: about 70 percent.</t>
  </si>
  <si>
    <t>Peak live deliveries per second</t>
  </si>
  <si>
    <t>Messages pushed to connections at the busiest period.</t>
  </si>
  <si>
    <t>deliveries/s</t>
  </si>
  <si>
    <t>Peak write RPS x fan-out recipients per message</t>
  </si>
  <si>
    <t>Average concurrent connections</t>
  </si>
  <si>
    <t>Connections open at once, averaged over the day.</t>
  </si>
  <si>
    <t>connections</t>
  </si>
  <si>
    <t>Daily active users x connected hours / 24</t>
  </si>
  <si>
    <t>Peak concurrent connections</t>
  </si>
  <si>
    <t>Connections open at once, at peak.</t>
  </si>
  <si>
    <t>Daily active users x share of users connected at peak</t>
  </si>
  <si>
    <t>After MVP; see FC-06</t>
  </si>
  <si>
    <t>RTO 1 minute; RPO 1 second*</t>
  </si>
  <si>
    <t>Read one user by duckId</t>
  </si>
  <si>
    <t>Create flocks</t>
  </si>
  <si>
    <t>Scoping Q36; *OOS-11</t>
  </si>
  <si>
    <t>API requests, live message deliveries, connection time, and stored bytes. Drivers: messages sent times connected recipients, and hours connected.</t>
  </si>
  <si>
    <t>Derived: 5 billion actions per week over 12 million DAU is about 60 actions per user per day (https://slack.com/intl/en-gb/blog/news/intl-en-gb-work-is-fuelled-by-true-engagement); 14 of those are sends, the rest treated as reads. Assumption in the split.</t>
  </si>
  <si>
    <t>Derived: more than 1 billion messages in the week ended 2019-01-31 over more than 10 million DAU is about 14 sends per user per day. Slack S-1: https://www.sec.gov/Archives/edgar/data/1764925/000162828019004786/slacks-1.htm</t>
  </si>
  <si>
    <t>12.8k read RPS, 3.9k write RPS, 38.9k live deliveries per second</t>
  </si>
  <si>
    <t>3,900 per second at peak</t>
  </si>
  <si>
    <t>Retention is indefinite (Scoping Q29). 730 days is the 24 month horizon, not a deletion point.</t>
  </si>
  <si>
    <t>Assumption: 5 of the 46 daily reads are flock lists</t>
  </si>
  <si>
    <t>Assumption: 40 of the 46 daily reads are flock opens</t>
  </si>
  <si>
    <t xml:space="preserve">*See OOS-10 caveat on point-in-time recovery.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</si>
</sst>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b/>
      <sz val="12"/>
      <color rgb="FF000000"/>
      <name val="Arial"/>
    </font>
    <font>
      <i/>
      <sz val="11"/>
      <color rgb="FF595959"/>
      <name val="Arial"/>
    </font>
    <font>
      <b/>
      <sz val="12"/>
      <name val="Arial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1"/>
      <color rgb="FF000000"/>
      <name val="Arial"/>
      <family val="2"/>
    </font>
    <font>
      <i/>
      <sz val="11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6" fontId="2" fillId="0" borderId="1" xfId="0" applyNumberFormat="1" applyFont="1" applyBorder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6" fontId="7" fillId="4" borderId="1" xfId="0" applyNumberFormat="1" applyFont="1" applyFill="1" applyBorder="1" applyAlignment="1">
      <alignment horizontal="left" vertical="top" wrapText="1"/>
    </xf>
    <xf numFmtId="0" fontId="2" fillId="0" borderId="1" xfId="2" applyNumberFormat="1" applyFont="1" applyBorder="1" applyAlignment="1">
      <alignment horizontal="left" vertical="top" wrapText="1"/>
    </xf>
    <xf numFmtId="0" fontId="2" fillId="0" borderId="1" xfId="1" applyNumberFormat="1" applyFont="1" applyBorder="1" applyAlignment="1">
      <alignment horizontal="left" vertical="top" wrapText="1"/>
    </xf>
    <xf numFmtId="0" fontId="7" fillId="0" borderId="1" xfId="2" applyNumberFormat="1" applyFont="1" applyBorder="1" applyAlignment="1">
      <alignment horizontal="left" vertical="top" wrapText="1"/>
    </xf>
    <xf numFmtId="0" fontId="7" fillId="4" borderId="1" xfId="2" applyNumberFormat="1" applyFont="1" applyFill="1" applyBorder="1" applyAlignment="1">
      <alignment horizontal="left" vertical="top" wrapText="1"/>
    </xf>
    <xf numFmtId="164" fontId="2" fillId="0" borderId="1" xfId="2" applyNumberFormat="1" applyFont="1" applyBorder="1" applyAlignment="1">
      <alignment vertical="top" wrapText="1"/>
    </xf>
    <xf numFmtId="165" fontId="2" fillId="0" borderId="1" xfId="2" applyNumberFormat="1" applyFont="1" applyBorder="1" applyAlignment="1">
      <alignment vertical="top" wrapText="1"/>
    </xf>
    <xf numFmtId="164" fontId="2" fillId="3" borderId="1" xfId="2" applyNumberFormat="1" applyFont="1" applyFill="1" applyBorder="1" applyAlignment="1">
      <alignment vertical="top" wrapText="1"/>
    </xf>
    <xf numFmtId="165" fontId="2" fillId="3" borderId="1" xfId="2" applyNumberFormat="1" applyFont="1" applyFill="1" applyBorder="1" applyAlignment="1">
      <alignment vertical="top" wrapText="1"/>
    </xf>
    <xf numFmtId="3" fontId="7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0" fontId="7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  <xf numFmtId="0" fontId="4" fillId="0" borderId="2" xfId="0" applyFont="1" applyBorder="1" applyAlignment="1">
      <alignment vertical="top" wrapText="1"/>
    </xf>
    <xf numFmtId="0" fontId="0" fillId="0" borderId="2" xfId="0" applyBorder="1"/>
    <xf numFmtId="14" fontId="2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vertical="top" wrapText="1"/>
    </xf>
    <xf numFmtId="0" fontId="5" fillId="0" borderId="0" xfId="0" applyFont="1" applyAlignment="1">
      <alignment vertical="top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4"/>
  <sheetViews>
    <sheetView workbookViewId="0">
      <pane ySplit="2" topLeftCell="A15" activePane="bottomLeft" state="frozen"/>
      <selection pane="bottomLeft" activeCell="E72" sqref="E72"/>
    </sheetView>
  </sheetViews>
  <sheetFormatPr defaultRowHeight="15" x14ac:dyDescent="0.25"/>
  <cols>
    <col min="1" max="1" width="13.85546875" customWidth="1"/>
    <col min="2" max="2" width="36" customWidth="1"/>
    <col min="3" max="3" width="48.42578125" customWidth="1"/>
    <col min="4" max="4" width="40.28515625" customWidth="1"/>
    <col min="5" max="5" width="73.28515625" bestFit="1" customWidth="1"/>
    <col min="6" max="6" width="37" bestFit="1" customWidth="1"/>
    <col min="7" max="7" width="18" customWidth="1"/>
    <col min="8" max="8" width="37.85546875" customWidth="1"/>
    <col min="9" max="9" width="31.5703125" customWidth="1"/>
    <col min="10" max="10" width="32.7109375" customWidth="1"/>
  </cols>
  <sheetData>
    <row r="1" spans="1:10" x14ac:dyDescent="0.25">
      <c r="A1" s="23" t="s">
        <v>0</v>
      </c>
      <c r="B1" s="24"/>
      <c r="C1" s="23" t="s">
        <v>1</v>
      </c>
      <c r="D1" s="24"/>
      <c r="E1" s="23" t="s">
        <v>2</v>
      </c>
      <c r="F1" s="24"/>
    </row>
    <row r="2" spans="1:10" ht="20.100000000000001" customHeight="1" x14ac:dyDescent="0.25">
      <c r="A2" s="30">
        <v>46276</v>
      </c>
      <c r="B2" s="31"/>
      <c r="C2" s="32" t="s">
        <v>280</v>
      </c>
      <c r="D2" s="31"/>
      <c r="E2" s="30">
        <v>46276</v>
      </c>
      <c r="F2" s="31"/>
    </row>
    <row r="4" spans="1:10" x14ac:dyDescent="0.25">
      <c r="A4" s="26" t="s">
        <v>3</v>
      </c>
      <c r="B4" s="27"/>
      <c r="C4" s="27"/>
      <c r="D4" s="27"/>
      <c r="E4" s="27"/>
      <c r="F4" s="26" t="s">
        <v>4</v>
      </c>
      <c r="G4" s="27"/>
      <c r="H4" s="27"/>
      <c r="I4" s="27"/>
      <c r="J4" s="27"/>
    </row>
    <row r="5" spans="1:10" ht="18" customHeight="1" x14ac:dyDescent="0.25">
      <c r="A5" s="28" t="s">
        <v>5</v>
      </c>
      <c r="B5" s="29"/>
      <c r="C5" s="29"/>
      <c r="D5" s="29"/>
      <c r="E5" s="29"/>
      <c r="F5" s="28" t="s">
        <v>6</v>
      </c>
      <c r="G5" s="29"/>
      <c r="H5" s="29"/>
      <c r="I5" s="29"/>
      <c r="J5" s="29"/>
    </row>
    <row r="6" spans="1:10" ht="95.1" customHeight="1" x14ac:dyDescent="0.25">
      <c r="A6" s="25" t="s">
        <v>282</v>
      </c>
      <c r="B6" s="24"/>
      <c r="C6" s="24"/>
      <c r="D6" s="24"/>
      <c r="E6" s="24"/>
      <c r="F6" s="25" t="s">
        <v>281</v>
      </c>
      <c r="G6" s="24"/>
      <c r="H6" s="24"/>
      <c r="I6" s="24"/>
      <c r="J6" s="24"/>
    </row>
    <row r="8" spans="1:10" ht="20.100000000000001" customHeight="1" x14ac:dyDescent="0.25">
      <c r="A8" s="26" t="s">
        <v>7</v>
      </c>
      <c r="B8" s="27"/>
      <c r="C8" s="27"/>
      <c r="D8" s="27"/>
      <c r="E8" s="27"/>
    </row>
    <row r="9" spans="1:10" ht="18" customHeight="1" x14ac:dyDescent="0.25">
      <c r="A9" s="28" t="s">
        <v>8</v>
      </c>
      <c r="B9" s="29"/>
      <c r="C9" s="29"/>
      <c r="D9" s="29"/>
      <c r="E9" s="29"/>
    </row>
    <row r="10" spans="1:10" x14ac:dyDescent="0.25">
      <c r="A10" s="1" t="s">
        <v>9</v>
      </c>
      <c r="B10" s="1" t="s">
        <v>10</v>
      </c>
      <c r="C10" s="1" t="s">
        <v>11</v>
      </c>
      <c r="D10" s="7" t="s">
        <v>288</v>
      </c>
      <c r="E10" s="1" t="s">
        <v>12</v>
      </c>
    </row>
    <row r="11" spans="1:10" ht="20.100000000000001" customHeight="1" x14ac:dyDescent="0.25">
      <c r="A11" s="6" t="s">
        <v>13</v>
      </c>
      <c r="B11" s="6" t="s">
        <v>418</v>
      </c>
      <c r="C11" s="6" t="s">
        <v>291</v>
      </c>
      <c r="D11" s="6" t="s">
        <v>290</v>
      </c>
      <c r="E11" s="6"/>
    </row>
    <row r="12" spans="1:10" ht="20.100000000000001" customHeight="1" x14ac:dyDescent="0.25">
      <c r="A12" s="6" t="s">
        <v>283</v>
      </c>
      <c r="B12" s="6" t="s">
        <v>419</v>
      </c>
      <c r="C12" s="6" t="s">
        <v>292</v>
      </c>
      <c r="D12" s="6" t="s">
        <v>287</v>
      </c>
      <c r="E12" s="6"/>
    </row>
    <row r="13" spans="1:10" ht="20.100000000000001" customHeight="1" x14ac:dyDescent="0.25">
      <c r="A13" s="6" t="s">
        <v>284</v>
      </c>
      <c r="B13" s="6" t="s">
        <v>420</v>
      </c>
      <c r="C13" s="6" t="s">
        <v>293</v>
      </c>
      <c r="D13" s="6" t="s">
        <v>286</v>
      </c>
      <c r="E13" s="6"/>
    </row>
    <row r="14" spans="1:10" ht="20.100000000000001" customHeight="1" x14ac:dyDescent="0.25">
      <c r="A14" s="6" t="s">
        <v>285</v>
      </c>
      <c r="B14" s="6" t="s">
        <v>280</v>
      </c>
      <c r="C14" s="6" t="s">
        <v>294</v>
      </c>
      <c r="D14" s="6" t="s">
        <v>295</v>
      </c>
      <c r="E14" s="6"/>
    </row>
    <row r="15" spans="1:10" ht="20.100000000000001" customHeight="1" x14ac:dyDescent="0.25">
      <c r="A15" s="2"/>
      <c r="B15" s="2"/>
      <c r="C15" s="2"/>
      <c r="D15" s="2"/>
      <c r="E15" s="2"/>
    </row>
    <row r="16" spans="1:10" ht="20.100000000000001" customHeight="1" x14ac:dyDescent="0.25">
      <c r="A16" s="2"/>
      <c r="B16" s="2"/>
      <c r="C16" s="2"/>
      <c r="D16" s="2"/>
      <c r="E16" s="2"/>
    </row>
    <row r="18" spans="1:6" ht="20.100000000000001" customHeight="1" x14ac:dyDescent="0.25">
      <c r="A18" s="26" t="s">
        <v>14</v>
      </c>
      <c r="B18" s="27"/>
      <c r="C18" s="27"/>
      <c r="D18" s="27"/>
      <c r="E18" s="27"/>
      <c r="F18" s="27"/>
    </row>
    <row r="19" spans="1:6" ht="18" customHeight="1" x14ac:dyDescent="0.25">
      <c r="A19" s="28" t="s">
        <v>15</v>
      </c>
      <c r="B19" s="29"/>
      <c r="C19" s="29"/>
      <c r="D19" s="29"/>
      <c r="E19" s="29"/>
      <c r="F19" s="29"/>
    </row>
    <row r="20" spans="1:6" x14ac:dyDescent="0.25">
      <c r="A20" s="1" t="s">
        <v>9</v>
      </c>
      <c r="B20" s="1" t="s">
        <v>16</v>
      </c>
      <c r="C20" s="1" t="s">
        <v>17</v>
      </c>
      <c r="D20" s="1" t="s">
        <v>18</v>
      </c>
      <c r="E20" s="1" t="s">
        <v>12</v>
      </c>
    </row>
    <row r="21" spans="1:6" ht="38.25" customHeight="1" x14ac:dyDescent="0.25">
      <c r="A21" s="2" t="s">
        <v>19</v>
      </c>
      <c r="B21" s="6" t="s">
        <v>306</v>
      </c>
      <c r="C21" s="6" t="s">
        <v>307</v>
      </c>
      <c r="D21" s="6" t="s">
        <v>664</v>
      </c>
      <c r="E21" s="2"/>
    </row>
    <row r="22" spans="1:6" x14ac:dyDescent="0.25">
      <c r="A22" s="2" t="s">
        <v>297</v>
      </c>
      <c r="B22" s="6" t="s">
        <v>296</v>
      </c>
      <c r="C22" s="6" t="s">
        <v>299</v>
      </c>
      <c r="D22" s="6" t="s">
        <v>417</v>
      </c>
      <c r="E22" s="6" t="s">
        <v>300</v>
      </c>
    </row>
    <row r="23" spans="1:6" ht="28.5" x14ac:dyDescent="0.25">
      <c r="A23" s="2" t="s">
        <v>298</v>
      </c>
      <c r="B23" s="6" t="s">
        <v>305</v>
      </c>
      <c r="C23" s="6" t="s">
        <v>309</v>
      </c>
      <c r="D23" s="6" t="s">
        <v>308</v>
      </c>
      <c r="E23" s="2"/>
    </row>
    <row r="24" spans="1:6" ht="20.100000000000001" customHeight="1" x14ac:dyDescent="0.25">
      <c r="A24" s="2"/>
      <c r="B24" s="2"/>
      <c r="C24" s="2"/>
      <c r="D24" s="2"/>
      <c r="E24" s="2"/>
    </row>
    <row r="25" spans="1:6" ht="20.100000000000001" customHeight="1" x14ac:dyDescent="0.25">
      <c r="A25" s="2"/>
      <c r="B25" s="2"/>
      <c r="C25" s="2"/>
      <c r="D25" s="2"/>
      <c r="E25" s="2"/>
    </row>
    <row r="26" spans="1:6" ht="20.100000000000001" customHeight="1" x14ac:dyDescent="0.25">
      <c r="A26" s="2"/>
      <c r="B26" s="2"/>
      <c r="C26" s="2"/>
      <c r="D26" s="2"/>
      <c r="E26" s="2"/>
    </row>
    <row r="28" spans="1:6" ht="20.100000000000001" customHeight="1" x14ac:dyDescent="0.25">
      <c r="A28" s="26" t="s">
        <v>20</v>
      </c>
      <c r="B28" s="27"/>
      <c r="C28" s="27"/>
      <c r="D28" s="27"/>
      <c r="E28" s="27"/>
      <c r="F28" s="27"/>
    </row>
    <row r="29" spans="1:6" ht="18" customHeight="1" x14ac:dyDescent="0.25">
      <c r="A29" s="28" t="s">
        <v>21</v>
      </c>
      <c r="B29" s="29"/>
      <c r="C29" s="29"/>
      <c r="D29" s="29"/>
      <c r="E29" s="29"/>
      <c r="F29" s="29"/>
    </row>
    <row r="30" spans="1:6" x14ac:dyDescent="0.25">
      <c r="A30" s="1" t="s">
        <v>9</v>
      </c>
      <c r="B30" s="1" t="s">
        <v>22</v>
      </c>
      <c r="C30" s="1" t="s">
        <v>23</v>
      </c>
      <c r="D30" s="1" t="s">
        <v>24</v>
      </c>
      <c r="E30" s="1" t="s">
        <v>25</v>
      </c>
      <c r="F30" s="1" t="s">
        <v>12</v>
      </c>
    </row>
    <row r="31" spans="1:6" ht="28.5" x14ac:dyDescent="0.25">
      <c r="A31" s="2" t="s">
        <v>26</v>
      </c>
      <c r="B31" s="2" t="s">
        <v>301</v>
      </c>
      <c r="C31" s="6" t="s">
        <v>310</v>
      </c>
      <c r="D31" s="2" t="s">
        <v>159</v>
      </c>
      <c r="E31" s="8" t="s">
        <v>289</v>
      </c>
      <c r="F31" s="2"/>
    </row>
    <row r="32" spans="1:6" ht="28.5" x14ac:dyDescent="0.25">
      <c r="A32" s="2" t="s">
        <v>322</v>
      </c>
      <c r="B32" s="6" t="s">
        <v>302</v>
      </c>
      <c r="C32" s="6" t="s">
        <v>311</v>
      </c>
      <c r="D32" s="6" t="s">
        <v>159</v>
      </c>
      <c r="E32" s="8" t="s">
        <v>289</v>
      </c>
      <c r="F32" s="2"/>
    </row>
    <row r="33" spans="1:6" x14ac:dyDescent="0.25">
      <c r="A33" s="2" t="s">
        <v>323</v>
      </c>
      <c r="B33" s="6" t="s">
        <v>303</v>
      </c>
      <c r="C33" s="6" t="s">
        <v>312</v>
      </c>
      <c r="D33" s="2" t="s">
        <v>159</v>
      </c>
      <c r="E33" s="8" t="s">
        <v>289</v>
      </c>
      <c r="F33" s="2"/>
    </row>
    <row r="34" spans="1:6" ht="20.100000000000001" customHeight="1" x14ac:dyDescent="0.25">
      <c r="A34" s="2" t="s">
        <v>324</v>
      </c>
      <c r="B34" s="6" t="s">
        <v>304</v>
      </c>
      <c r="C34" s="6" t="s">
        <v>313</v>
      </c>
      <c r="D34" s="2" t="s">
        <v>159</v>
      </c>
      <c r="E34" s="8" t="s">
        <v>289</v>
      </c>
      <c r="F34" s="2"/>
    </row>
    <row r="35" spans="1:6" ht="42.75" x14ac:dyDescent="0.25">
      <c r="A35" s="2" t="s">
        <v>325</v>
      </c>
      <c r="B35" s="6" t="s">
        <v>314</v>
      </c>
      <c r="C35" s="6" t="s">
        <v>315</v>
      </c>
      <c r="D35" s="2" t="s">
        <v>159</v>
      </c>
      <c r="E35" s="8" t="s">
        <v>289</v>
      </c>
      <c r="F35" s="2"/>
    </row>
    <row r="36" spans="1:6" ht="20.100000000000001" customHeight="1" x14ac:dyDescent="0.25">
      <c r="A36" s="2" t="s">
        <v>326</v>
      </c>
      <c r="B36" s="6" t="s">
        <v>316</v>
      </c>
      <c r="C36" s="6" t="s">
        <v>317</v>
      </c>
      <c r="D36" s="2" t="s">
        <v>159</v>
      </c>
      <c r="E36" s="8" t="s">
        <v>289</v>
      </c>
      <c r="F36" s="2"/>
    </row>
    <row r="37" spans="1:6" ht="28.5" x14ac:dyDescent="0.25">
      <c r="A37" s="2" t="s">
        <v>327</v>
      </c>
      <c r="B37" s="6" t="s">
        <v>319</v>
      </c>
      <c r="C37" s="6" t="s">
        <v>321</v>
      </c>
      <c r="D37" s="2" t="s">
        <v>159</v>
      </c>
      <c r="E37" s="8" t="s">
        <v>289</v>
      </c>
      <c r="F37" s="2"/>
    </row>
    <row r="38" spans="1:6" ht="20.100000000000001" customHeight="1" x14ac:dyDescent="0.25">
      <c r="A38" s="2" t="s">
        <v>328</v>
      </c>
      <c r="B38" s="6" t="s">
        <v>318</v>
      </c>
      <c r="C38" s="6" t="s">
        <v>320</v>
      </c>
      <c r="D38" s="2" t="s">
        <v>159</v>
      </c>
      <c r="E38" s="8" t="s">
        <v>289</v>
      </c>
      <c r="F38" s="2"/>
    </row>
    <row r="40" spans="1:6" ht="20.100000000000001" customHeight="1" x14ac:dyDescent="0.25">
      <c r="A40" s="26" t="s">
        <v>27</v>
      </c>
      <c r="B40" s="27"/>
      <c r="C40" s="27"/>
      <c r="D40" s="27"/>
      <c r="E40" s="27"/>
    </row>
    <row r="41" spans="1:6" ht="18" customHeight="1" x14ac:dyDescent="0.25">
      <c r="A41" s="28" t="s">
        <v>28</v>
      </c>
      <c r="B41" s="29"/>
      <c r="C41" s="29"/>
      <c r="D41" s="29"/>
      <c r="E41" s="29"/>
    </row>
    <row r="42" spans="1:6" x14ac:dyDescent="0.25">
      <c r="A42" s="1" t="s">
        <v>9</v>
      </c>
      <c r="B42" s="1" t="s">
        <v>29</v>
      </c>
      <c r="C42" s="1" t="s">
        <v>30</v>
      </c>
      <c r="D42" s="1" t="s">
        <v>31</v>
      </c>
      <c r="E42" s="1" t="s">
        <v>12</v>
      </c>
    </row>
    <row r="43" spans="1:6" ht="20.100000000000001" customHeight="1" x14ac:dyDescent="0.25">
      <c r="A43" s="2" t="s">
        <v>32</v>
      </c>
      <c r="B43" s="2" t="s">
        <v>33</v>
      </c>
      <c r="C43" s="6" t="s">
        <v>331</v>
      </c>
      <c r="D43" s="6" t="s">
        <v>280</v>
      </c>
      <c r="E43" s="2"/>
    </row>
    <row r="44" spans="1:6" ht="20.100000000000001" customHeight="1" x14ac:dyDescent="0.25">
      <c r="A44" s="2" t="s">
        <v>34</v>
      </c>
      <c r="B44" s="2" t="s">
        <v>35</v>
      </c>
      <c r="C44" s="6" t="s">
        <v>331</v>
      </c>
      <c r="D44" s="6" t="s">
        <v>280</v>
      </c>
      <c r="E44" s="2"/>
    </row>
    <row r="45" spans="1:6" ht="20.100000000000001" customHeight="1" x14ac:dyDescent="0.25">
      <c r="A45" s="2" t="s">
        <v>36</v>
      </c>
      <c r="B45" s="2" t="s">
        <v>37</v>
      </c>
      <c r="C45" s="2"/>
      <c r="D45" s="6" t="s">
        <v>329</v>
      </c>
      <c r="E45" s="6" t="s">
        <v>330</v>
      </c>
    </row>
    <row r="46" spans="1:6" ht="20.100000000000001" customHeight="1" x14ac:dyDescent="0.25">
      <c r="A46" s="2" t="s">
        <v>38</v>
      </c>
      <c r="B46" s="2" t="s">
        <v>39</v>
      </c>
      <c r="C46" s="6" t="s">
        <v>331</v>
      </c>
      <c r="D46" s="6" t="s">
        <v>423</v>
      </c>
      <c r="E46" s="2"/>
    </row>
    <row r="47" spans="1:6" ht="20.100000000000001" customHeight="1" x14ac:dyDescent="0.25">
      <c r="A47" s="2" t="s">
        <v>40</v>
      </c>
      <c r="B47" s="2" t="s">
        <v>41</v>
      </c>
      <c r="C47" s="6" t="s">
        <v>331</v>
      </c>
      <c r="D47" s="9" t="s">
        <v>280</v>
      </c>
      <c r="E47" s="2"/>
    </row>
    <row r="48" spans="1:6" ht="20.100000000000001" customHeight="1" x14ac:dyDescent="0.25">
      <c r="A48" s="2"/>
      <c r="B48" s="2"/>
      <c r="C48" s="2"/>
      <c r="D48" s="2"/>
      <c r="E48" s="2"/>
    </row>
    <row r="49" spans="1:10" ht="20.100000000000001" customHeight="1" x14ac:dyDescent="0.25">
      <c r="A49" s="2"/>
      <c r="B49" s="2"/>
      <c r="C49" s="2"/>
      <c r="D49" s="2"/>
      <c r="E49" s="2"/>
    </row>
    <row r="51" spans="1:10" ht="20.100000000000001" customHeight="1" x14ac:dyDescent="0.25">
      <c r="A51" s="26" t="s">
        <v>42</v>
      </c>
      <c r="B51" s="27"/>
      <c r="C51" s="27"/>
      <c r="D51" s="27"/>
      <c r="E51" s="27"/>
      <c r="F51" s="27"/>
      <c r="G51" s="27"/>
      <c r="H51" s="27"/>
      <c r="I51" s="27"/>
      <c r="J51" s="27"/>
    </row>
    <row r="52" spans="1:10" ht="18" customHeight="1" x14ac:dyDescent="0.25">
      <c r="A52" s="28" t="s">
        <v>43</v>
      </c>
      <c r="B52" s="29"/>
      <c r="C52" s="29"/>
      <c r="D52" s="29"/>
      <c r="E52" s="29"/>
      <c r="F52" s="29"/>
      <c r="G52" s="29"/>
      <c r="H52" s="29"/>
      <c r="I52" s="29"/>
      <c r="J52" s="29"/>
    </row>
    <row r="53" spans="1:10" ht="30" x14ac:dyDescent="0.25">
      <c r="A53" s="1" t="s">
        <v>9</v>
      </c>
      <c r="B53" s="1" t="s">
        <v>44</v>
      </c>
      <c r="C53" s="1" t="s">
        <v>45</v>
      </c>
      <c r="D53" s="1" t="s">
        <v>46</v>
      </c>
      <c r="E53" s="1" t="s">
        <v>47</v>
      </c>
      <c r="F53" s="1" t="s">
        <v>48</v>
      </c>
      <c r="G53" s="1" t="s">
        <v>49</v>
      </c>
      <c r="H53" s="1" t="s">
        <v>50</v>
      </c>
      <c r="I53" s="1" t="s">
        <v>51</v>
      </c>
      <c r="J53" s="1" t="s">
        <v>52</v>
      </c>
    </row>
    <row r="54" spans="1:10" ht="57" x14ac:dyDescent="0.25">
      <c r="A54" s="2" t="s">
        <v>53</v>
      </c>
      <c r="B54" s="6" t="s">
        <v>332</v>
      </c>
      <c r="C54" s="6" t="s">
        <v>333</v>
      </c>
      <c r="D54" s="6" t="s">
        <v>334</v>
      </c>
      <c r="E54" s="6" t="s">
        <v>335</v>
      </c>
      <c r="F54" s="6" t="s">
        <v>336</v>
      </c>
      <c r="G54" s="6" t="s">
        <v>422</v>
      </c>
      <c r="H54" s="6" t="s">
        <v>338</v>
      </c>
      <c r="I54" s="6" t="s">
        <v>337</v>
      </c>
      <c r="J54" s="6" t="s">
        <v>339</v>
      </c>
    </row>
    <row r="55" spans="1:10" ht="20.100000000000001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20.100000000000001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20.100000000000001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20.100000000000001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20.100000000000001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1" spans="1:10" ht="20.100000000000001" customHeight="1" x14ac:dyDescent="0.25">
      <c r="A61" s="26" t="s">
        <v>54</v>
      </c>
      <c r="B61" s="27"/>
      <c r="C61" s="27"/>
      <c r="D61" s="27"/>
      <c r="E61" s="27"/>
    </row>
    <row r="62" spans="1:10" ht="18" customHeight="1" x14ac:dyDescent="0.25">
      <c r="A62" s="28" t="s">
        <v>55</v>
      </c>
      <c r="B62" s="29"/>
      <c r="C62" s="29"/>
      <c r="D62" s="29"/>
      <c r="E62" s="29"/>
    </row>
    <row r="63" spans="1:10" x14ac:dyDescent="0.25">
      <c r="A63" s="1" t="s">
        <v>9</v>
      </c>
      <c r="B63" s="1" t="s">
        <v>56</v>
      </c>
      <c r="C63" s="1" t="s">
        <v>57</v>
      </c>
      <c r="D63" s="1" t="s">
        <v>58</v>
      </c>
      <c r="E63" s="1" t="s">
        <v>12</v>
      </c>
    </row>
    <row r="64" spans="1:10" ht="20.100000000000001" customHeight="1" x14ac:dyDescent="0.25">
      <c r="A64" s="2" t="s">
        <v>59</v>
      </c>
      <c r="B64" s="2" t="s">
        <v>60</v>
      </c>
      <c r="C64" s="2" t="s">
        <v>61</v>
      </c>
      <c r="D64" s="14">
        <v>500</v>
      </c>
      <c r="E64" s="6"/>
    </row>
    <row r="65" spans="1:5" ht="20.100000000000001" customHeight="1" x14ac:dyDescent="0.25">
      <c r="A65" s="2" t="s">
        <v>62</v>
      </c>
      <c r="B65" s="2" t="s">
        <v>63</v>
      </c>
      <c r="C65" s="2" t="s">
        <v>61</v>
      </c>
      <c r="D65" s="14">
        <v>1000</v>
      </c>
      <c r="E65" s="6"/>
    </row>
    <row r="66" spans="1:5" ht="20.100000000000001" customHeight="1" x14ac:dyDescent="0.25">
      <c r="A66" s="2" t="s">
        <v>64</v>
      </c>
      <c r="B66" s="2" t="s">
        <v>65</v>
      </c>
      <c r="C66" s="2" t="s">
        <v>61</v>
      </c>
      <c r="D66" s="14">
        <v>2000</v>
      </c>
      <c r="E66" s="6"/>
    </row>
    <row r="67" spans="1:5" ht="20.100000000000001" customHeight="1" x14ac:dyDescent="0.25">
      <c r="A67" s="2" t="s">
        <v>66</v>
      </c>
      <c r="B67" s="2" t="s">
        <v>67</v>
      </c>
      <c r="C67" s="2" t="s">
        <v>68</v>
      </c>
      <c r="D67" s="15">
        <v>0.999</v>
      </c>
      <c r="E67" s="6" t="s">
        <v>342</v>
      </c>
    </row>
    <row r="68" spans="1:5" ht="20.100000000000001" customHeight="1" x14ac:dyDescent="0.25">
      <c r="A68" s="2" t="s">
        <v>69</v>
      </c>
      <c r="B68" s="2" t="s">
        <v>70</v>
      </c>
      <c r="C68" s="2" t="s">
        <v>71</v>
      </c>
      <c r="D68" s="12" t="s">
        <v>340</v>
      </c>
      <c r="E68" s="6" t="s">
        <v>341</v>
      </c>
    </row>
    <row r="69" spans="1:5" ht="20.100000000000001" customHeight="1" x14ac:dyDescent="0.25">
      <c r="A69" s="2" t="s">
        <v>72</v>
      </c>
      <c r="B69" s="2" t="s">
        <v>73</v>
      </c>
      <c r="C69" s="2" t="s">
        <v>74</v>
      </c>
      <c r="D69" s="22">
        <v>16667</v>
      </c>
      <c r="E69" s="6"/>
    </row>
    <row r="70" spans="1:5" ht="20.100000000000001" customHeight="1" x14ac:dyDescent="0.25">
      <c r="A70" s="2" t="s">
        <v>75</v>
      </c>
      <c r="B70" s="2" t="s">
        <v>76</v>
      </c>
      <c r="C70" s="2" t="s">
        <v>77</v>
      </c>
      <c r="D70" s="16">
        <v>1</v>
      </c>
      <c r="E70" s="6" t="s">
        <v>344</v>
      </c>
    </row>
    <row r="71" spans="1:5" ht="20.100000000000001" customHeight="1" x14ac:dyDescent="0.25">
      <c r="A71" s="2" t="s">
        <v>78</v>
      </c>
      <c r="B71" s="2" t="s">
        <v>79</v>
      </c>
      <c r="C71" s="6" t="s">
        <v>77</v>
      </c>
      <c r="D71" s="16">
        <v>60</v>
      </c>
      <c r="E71" s="6" t="s">
        <v>345</v>
      </c>
    </row>
    <row r="72" spans="1:5" ht="28.5" x14ac:dyDescent="0.25">
      <c r="A72" s="2" t="s">
        <v>80</v>
      </c>
      <c r="B72" s="2" t="s">
        <v>81</v>
      </c>
      <c r="C72" s="2" t="s">
        <v>82</v>
      </c>
      <c r="D72" s="17" t="s">
        <v>289</v>
      </c>
      <c r="E72" s="8" t="s">
        <v>424</v>
      </c>
    </row>
    <row r="73" spans="1:5" ht="20.100000000000001" customHeight="1" x14ac:dyDescent="0.25">
      <c r="A73" s="2"/>
      <c r="B73" s="2"/>
      <c r="C73" s="2"/>
      <c r="D73" s="2"/>
      <c r="E73" s="2"/>
    </row>
    <row r="74" spans="1:5" ht="20.100000000000001" customHeight="1" x14ac:dyDescent="0.25">
      <c r="A74" s="2"/>
      <c r="B74" s="2"/>
      <c r="C74" s="2"/>
      <c r="D74" s="2"/>
      <c r="E74" s="2"/>
    </row>
    <row r="75" spans="1:5" ht="20.100000000000001" customHeight="1" x14ac:dyDescent="0.25">
      <c r="A75" s="2"/>
      <c r="B75" s="2"/>
      <c r="C75" s="2"/>
      <c r="D75" s="2"/>
      <c r="E75" s="2"/>
    </row>
    <row r="76" spans="1:5" ht="20.100000000000001" customHeight="1" x14ac:dyDescent="0.25">
      <c r="A76" s="2"/>
      <c r="B76" s="2"/>
      <c r="C76" s="2"/>
      <c r="D76" s="2"/>
      <c r="E76" s="2"/>
    </row>
    <row r="78" spans="1:5" ht="20.100000000000001" customHeight="1" x14ac:dyDescent="0.25">
      <c r="A78" s="26" t="s">
        <v>83</v>
      </c>
      <c r="B78" s="27"/>
      <c r="C78" s="27"/>
      <c r="D78" s="27"/>
      <c r="E78" s="27"/>
    </row>
    <row r="79" spans="1:5" ht="18" customHeight="1" x14ac:dyDescent="0.25">
      <c r="A79" s="33" t="s">
        <v>366</v>
      </c>
      <c r="B79" s="29"/>
      <c r="C79" s="29"/>
      <c r="D79" s="29"/>
      <c r="E79" s="29"/>
    </row>
    <row r="80" spans="1:5" x14ac:dyDescent="0.25">
      <c r="A80" s="1" t="s">
        <v>9</v>
      </c>
      <c r="B80" s="1" t="s">
        <v>84</v>
      </c>
      <c r="C80" s="1" t="s">
        <v>85</v>
      </c>
      <c r="D80" s="1" t="s">
        <v>86</v>
      </c>
      <c r="E80" s="1" t="s">
        <v>12</v>
      </c>
    </row>
    <row r="81" spans="1:5" ht="20.100000000000001" customHeight="1" x14ac:dyDescent="0.25">
      <c r="A81" s="2" t="s">
        <v>87</v>
      </c>
      <c r="B81" s="6" t="s">
        <v>349</v>
      </c>
      <c r="C81" s="6" t="s">
        <v>350</v>
      </c>
      <c r="D81" s="6" t="s">
        <v>351</v>
      </c>
      <c r="E81" s="2"/>
    </row>
    <row r="82" spans="1:5" ht="20.100000000000001" customHeight="1" x14ac:dyDescent="0.25">
      <c r="A82" s="2" t="s">
        <v>346</v>
      </c>
      <c r="B82" s="6" t="s">
        <v>352</v>
      </c>
      <c r="C82" s="6" t="s">
        <v>353</v>
      </c>
      <c r="D82" s="6" t="s">
        <v>354</v>
      </c>
      <c r="E82" s="6" t="s">
        <v>362</v>
      </c>
    </row>
    <row r="83" spans="1:5" ht="28.5" x14ac:dyDescent="0.25">
      <c r="A83" s="2" t="s">
        <v>343</v>
      </c>
      <c r="B83" s="6" t="s">
        <v>355</v>
      </c>
      <c r="C83" s="6" t="s">
        <v>356</v>
      </c>
      <c r="D83" s="6" t="s">
        <v>359</v>
      </c>
      <c r="E83" s="6"/>
    </row>
    <row r="84" spans="1:5" ht="28.5" x14ac:dyDescent="0.25">
      <c r="A84" s="2" t="s">
        <v>347</v>
      </c>
      <c r="B84" s="6" t="s">
        <v>357</v>
      </c>
      <c r="C84" s="6" t="s">
        <v>358</v>
      </c>
      <c r="D84" s="6" t="s">
        <v>367</v>
      </c>
      <c r="E84" s="2"/>
    </row>
    <row r="85" spans="1:5" ht="28.5" x14ac:dyDescent="0.25">
      <c r="A85" s="2" t="s">
        <v>348</v>
      </c>
      <c r="B85" s="6" t="s">
        <v>360</v>
      </c>
      <c r="C85" s="6" t="s">
        <v>361</v>
      </c>
      <c r="D85" s="6" t="s">
        <v>359</v>
      </c>
      <c r="E85" s="2"/>
    </row>
    <row r="86" spans="1:5" ht="28.5" x14ac:dyDescent="0.25">
      <c r="A86" s="2" t="s">
        <v>363</v>
      </c>
      <c r="B86" s="6" t="s">
        <v>364</v>
      </c>
      <c r="C86" s="6" t="s">
        <v>365</v>
      </c>
      <c r="D86" s="6" t="s">
        <v>42</v>
      </c>
      <c r="E86" s="2"/>
    </row>
    <row r="87" spans="1:5" x14ac:dyDescent="0.25">
      <c r="A87" s="2"/>
      <c r="B87" s="6"/>
      <c r="C87" s="6"/>
      <c r="D87" s="6"/>
      <c r="E87" s="2"/>
    </row>
    <row r="88" spans="1:5" x14ac:dyDescent="0.25">
      <c r="A88" s="2"/>
      <c r="B88" s="6"/>
      <c r="C88" s="6"/>
      <c r="D88" s="6"/>
      <c r="E88" s="2"/>
    </row>
    <row r="89" spans="1:5" ht="20.100000000000001" customHeight="1" x14ac:dyDescent="0.25">
      <c r="A89" s="2"/>
      <c r="B89" s="2"/>
      <c r="C89" s="2"/>
      <c r="D89" s="2"/>
      <c r="E89" s="2"/>
    </row>
    <row r="91" spans="1:5" ht="20.100000000000001" customHeight="1" x14ac:dyDescent="0.25">
      <c r="A91" s="26" t="s">
        <v>88</v>
      </c>
      <c r="B91" s="27"/>
      <c r="C91" s="27"/>
      <c r="D91" s="27"/>
      <c r="E91" s="27"/>
    </row>
    <row r="92" spans="1:5" ht="18" customHeight="1" x14ac:dyDescent="0.25">
      <c r="A92" s="28" t="s">
        <v>89</v>
      </c>
      <c r="B92" s="29"/>
      <c r="C92" s="29"/>
      <c r="D92" s="29"/>
      <c r="E92" s="29"/>
    </row>
    <row r="93" spans="1:5" x14ac:dyDescent="0.25">
      <c r="A93" s="1" t="s">
        <v>9</v>
      </c>
      <c r="B93" s="1" t="s">
        <v>90</v>
      </c>
      <c r="C93" s="1" t="s">
        <v>91</v>
      </c>
      <c r="D93" s="1" t="s">
        <v>92</v>
      </c>
      <c r="E93" s="1" t="s">
        <v>12</v>
      </c>
    </row>
    <row r="94" spans="1:5" ht="20.100000000000001" customHeight="1" x14ac:dyDescent="0.25">
      <c r="A94" s="2" t="s">
        <v>93</v>
      </c>
      <c r="B94" s="2" t="s">
        <v>94</v>
      </c>
      <c r="C94" s="6" t="s">
        <v>368</v>
      </c>
      <c r="D94" s="6" t="s">
        <v>369</v>
      </c>
      <c r="E94" s="2"/>
    </row>
    <row r="95" spans="1:5" ht="20.100000000000001" customHeight="1" x14ac:dyDescent="0.25">
      <c r="A95" s="2" t="s">
        <v>95</v>
      </c>
      <c r="B95" s="2" t="s">
        <v>96</v>
      </c>
      <c r="C95" s="10">
        <v>0</v>
      </c>
      <c r="D95" s="6" t="s">
        <v>421</v>
      </c>
      <c r="E95" s="6"/>
    </row>
    <row r="96" spans="1:5" ht="20.100000000000001" customHeight="1" x14ac:dyDescent="0.25">
      <c r="A96" s="2" t="s">
        <v>97</v>
      </c>
      <c r="B96" s="2" t="s">
        <v>98</v>
      </c>
      <c r="C96" s="10">
        <v>0</v>
      </c>
      <c r="D96" s="6" t="s">
        <v>370</v>
      </c>
      <c r="E96" s="2"/>
    </row>
    <row r="97" spans="1:5" ht="20.100000000000001" customHeight="1" x14ac:dyDescent="0.25">
      <c r="A97" s="2" t="s">
        <v>99</v>
      </c>
      <c r="B97" s="2" t="s">
        <v>100</v>
      </c>
      <c r="C97" s="13" t="s">
        <v>289</v>
      </c>
      <c r="D97" s="11"/>
      <c r="E97" s="11" t="s">
        <v>425</v>
      </c>
    </row>
    <row r="98" spans="1:5" ht="20.100000000000001" customHeight="1" x14ac:dyDescent="0.25">
      <c r="A98" s="2"/>
      <c r="B98" s="2"/>
      <c r="C98" s="2"/>
      <c r="D98" s="2"/>
      <c r="E98" s="2"/>
    </row>
    <row r="99" spans="1:5" ht="20.100000000000001" customHeight="1" x14ac:dyDescent="0.25">
      <c r="A99" s="2"/>
      <c r="B99" s="2"/>
      <c r="C99" s="2"/>
      <c r="D99" s="2"/>
      <c r="E99" s="2"/>
    </row>
    <row r="101" spans="1:5" ht="20.100000000000001" customHeight="1" x14ac:dyDescent="0.25">
      <c r="A101" s="26" t="s">
        <v>101</v>
      </c>
      <c r="B101" s="27"/>
      <c r="C101" s="27"/>
      <c r="D101" s="27"/>
      <c r="E101" s="27"/>
    </row>
    <row r="102" spans="1:5" ht="18" customHeight="1" x14ac:dyDescent="0.25">
      <c r="A102" s="28" t="s">
        <v>102</v>
      </c>
      <c r="B102" s="29"/>
      <c r="C102" s="29"/>
      <c r="D102" s="29"/>
      <c r="E102" s="29"/>
    </row>
    <row r="103" spans="1:5" x14ac:dyDescent="0.25">
      <c r="A103" s="1" t="s">
        <v>9</v>
      </c>
      <c r="B103" s="1" t="s">
        <v>103</v>
      </c>
      <c r="C103" s="1" t="s">
        <v>92</v>
      </c>
      <c r="D103" s="1" t="s">
        <v>104</v>
      </c>
      <c r="E103" s="1" t="s">
        <v>12</v>
      </c>
    </row>
    <row r="104" spans="1:5" ht="20.100000000000001" customHeight="1" x14ac:dyDescent="0.25">
      <c r="A104" s="2" t="s">
        <v>105</v>
      </c>
      <c r="B104" s="6" t="s">
        <v>371</v>
      </c>
      <c r="C104" s="6" t="s">
        <v>373</v>
      </c>
      <c r="D104" s="6" t="s">
        <v>372</v>
      </c>
      <c r="E104" s="2"/>
    </row>
    <row r="105" spans="1:5" ht="28.5" x14ac:dyDescent="0.25">
      <c r="A105" s="2" t="s">
        <v>376</v>
      </c>
      <c r="B105" s="6" t="s">
        <v>374</v>
      </c>
      <c r="C105" s="6" t="s">
        <v>375</v>
      </c>
      <c r="D105" s="6" t="s">
        <v>378</v>
      </c>
      <c r="E105" s="2"/>
    </row>
    <row r="106" spans="1:5" ht="28.5" x14ac:dyDescent="0.25">
      <c r="A106" s="2" t="s">
        <v>377</v>
      </c>
      <c r="B106" s="6" t="s">
        <v>379</v>
      </c>
      <c r="C106" s="6" t="s">
        <v>380</v>
      </c>
      <c r="D106" s="6" t="s">
        <v>381</v>
      </c>
      <c r="E106" s="2"/>
    </row>
    <row r="107" spans="1:5" ht="20.100000000000001" customHeight="1" x14ac:dyDescent="0.25">
      <c r="A107" s="2"/>
      <c r="B107" s="2"/>
      <c r="C107" s="2"/>
      <c r="D107" s="2"/>
      <c r="E107" s="2"/>
    </row>
    <row r="108" spans="1:5" ht="20.100000000000001" customHeight="1" x14ac:dyDescent="0.25">
      <c r="A108" s="2"/>
      <c r="B108" s="2"/>
      <c r="C108" s="2"/>
      <c r="D108" s="2"/>
      <c r="E108" s="2"/>
    </row>
    <row r="109" spans="1:5" ht="20.100000000000001" customHeight="1" x14ac:dyDescent="0.25">
      <c r="A109" s="2"/>
      <c r="B109" s="2"/>
      <c r="C109" s="2"/>
      <c r="D109" s="2"/>
      <c r="E109" s="2"/>
    </row>
    <row r="111" spans="1:5" ht="20.100000000000001" customHeight="1" x14ac:dyDescent="0.25">
      <c r="A111" s="26" t="s">
        <v>106</v>
      </c>
      <c r="B111" s="27"/>
      <c r="C111" s="27"/>
      <c r="D111" s="27"/>
      <c r="E111" s="27"/>
    </row>
    <row r="112" spans="1:5" ht="18" customHeight="1" x14ac:dyDescent="0.25">
      <c r="A112" s="28" t="s">
        <v>107</v>
      </c>
      <c r="B112" s="29"/>
      <c r="C112" s="29"/>
      <c r="D112" s="29"/>
      <c r="E112" s="29"/>
    </row>
    <row r="113" spans="1:6" x14ac:dyDescent="0.25">
      <c r="A113" s="1" t="s">
        <v>9</v>
      </c>
      <c r="B113" s="1" t="s">
        <v>108</v>
      </c>
      <c r="C113" s="1" t="s">
        <v>109</v>
      </c>
      <c r="D113" s="1" t="s">
        <v>110</v>
      </c>
      <c r="E113" s="1" t="s">
        <v>12</v>
      </c>
    </row>
    <row r="114" spans="1:6" ht="28.5" x14ac:dyDescent="0.25">
      <c r="A114" s="2" t="s">
        <v>111</v>
      </c>
      <c r="B114" s="6" t="s">
        <v>402</v>
      </c>
      <c r="C114" s="2" t="s">
        <v>382</v>
      </c>
      <c r="D114" s="2" t="s">
        <v>383</v>
      </c>
      <c r="E114" s="2"/>
    </row>
    <row r="115" spans="1:6" ht="28.5" x14ac:dyDescent="0.25">
      <c r="A115" s="2" t="s">
        <v>384</v>
      </c>
      <c r="B115" s="2" t="s">
        <v>385</v>
      </c>
      <c r="C115" s="2" t="s">
        <v>382</v>
      </c>
      <c r="D115" s="2" t="s">
        <v>383</v>
      </c>
      <c r="E115" s="2"/>
    </row>
    <row r="116" spans="1:6" ht="28.5" x14ac:dyDescent="0.25">
      <c r="A116" s="2" t="s">
        <v>386</v>
      </c>
      <c r="B116" s="2" t="s">
        <v>387</v>
      </c>
      <c r="C116" s="2" t="s">
        <v>382</v>
      </c>
      <c r="D116" s="2" t="s">
        <v>383</v>
      </c>
      <c r="E116" s="2"/>
    </row>
    <row r="117" spans="1:6" ht="28.5" x14ac:dyDescent="0.25">
      <c r="A117" s="2" t="s">
        <v>388</v>
      </c>
      <c r="B117" s="2" t="s">
        <v>389</v>
      </c>
      <c r="C117" s="2" t="s">
        <v>382</v>
      </c>
      <c r="D117" s="2" t="s">
        <v>383</v>
      </c>
      <c r="E117" s="2"/>
    </row>
    <row r="118" spans="1:6" ht="28.5" x14ac:dyDescent="0.25">
      <c r="A118" s="2" t="s">
        <v>390</v>
      </c>
      <c r="B118" s="2" t="s">
        <v>391</v>
      </c>
      <c r="C118" s="2" t="s">
        <v>382</v>
      </c>
      <c r="D118" s="2" t="s">
        <v>383</v>
      </c>
      <c r="E118" s="2"/>
    </row>
    <row r="119" spans="1:6" ht="28.5" x14ac:dyDescent="0.25">
      <c r="A119" s="2" t="s">
        <v>392</v>
      </c>
      <c r="B119" s="2" t="s">
        <v>393</v>
      </c>
      <c r="C119" s="2" t="s">
        <v>382</v>
      </c>
      <c r="D119" s="2" t="s">
        <v>383</v>
      </c>
      <c r="E119" s="2"/>
    </row>
    <row r="120" spans="1:6" ht="28.5" x14ac:dyDescent="0.25">
      <c r="A120" s="2" t="s">
        <v>394</v>
      </c>
      <c r="B120" s="2" t="s">
        <v>395</v>
      </c>
      <c r="C120" s="2" t="s">
        <v>382</v>
      </c>
      <c r="D120" s="2" t="s">
        <v>383</v>
      </c>
      <c r="E120" s="2"/>
    </row>
    <row r="121" spans="1:6" ht="28.5" x14ac:dyDescent="0.25">
      <c r="A121" s="2" t="s">
        <v>396</v>
      </c>
      <c r="B121" s="2" t="s">
        <v>397</v>
      </c>
      <c r="C121" s="2" t="s">
        <v>382</v>
      </c>
      <c r="D121" s="2" t="s">
        <v>383</v>
      </c>
      <c r="E121" s="2"/>
    </row>
    <row r="122" spans="1:6" ht="28.5" x14ac:dyDescent="0.25">
      <c r="A122" s="2" t="s">
        <v>398</v>
      </c>
      <c r="B122" s="2" t="s">
        <v>399</v>
      </c>
      <c r="C122" s="2" t="s">
        <v>400</v>
      </c>
      <c r="D122" s="2" t="s">
        <v>401</v>
      </c>
      <c r="E122" s="2"/>
    </row>
    <row r="123" spans="1:6" ht="28.5" x14ac:dyDescent="0.25">
      <c r="A123" s="2" t="s">
        <v>426</v>
      </c>
      <c r="B123" s="2" t="s">
        <v>133</v>
      </c>
      <c r="C123" s="2" t="s">
        <v>382</v>
      </c>
      <c r="D123" s="2" t="s">
        <v>661</v>
      </c>
      <c r="E123" s="2" t="s">
        <v>445</v>
      </c>
    </row>
    <row r="124" spans="1:6" ht="42.75" x14ac:dyDescent="0.25">
      <c r="A124" s="2" t="s">
        <v>457</v>
      </c>
      <c r="B124" s="2" t="s">
        <v>146</v>
      </c>
      <c r="C124" s="2" t="s">
        <v>382</v>
      </c>
      <c r="D124" s="2" t="s">
        <v>383</v>
      </c>
      <c r="E124" s="2" t="s">
        <v>458</v>
      </c>
    </row>
    <row r="125" spans="1:6" x14ac:dyDescent="0.25">
      <c r="A125" s="2"/>
      <c r="B125" s="2"/>
      <c r="C125" s="2"/>
      <c r="D125" s="2"/>
      <c r="E125" s="2"/>
    </row>
    <row r="127" spans="1:6" ht="20.100000000000001" customHeight="1" x14ac:dyDescent="0.25">
      <c r="A127" s="26" t="s">
        <v>112</v>
      </c>
      <c r="B127" s="27"/>
      <c r="C127" s="27"/>
      <c r="D127" s="27"/>
      <c r="E127" s="27"/>
      <c r="F127" s="27"/>
    </row>
    <row r="128" spans="1:6" ht="18" customHeight="1" x14ac:dyDescent="0.25">
      <c r="A128" s="28" t="s">
        <v>113</v>
      </c>
      <c r="B128" s="29"/>
      <c r="C128" s="29"/>
      <c r="D128" s="29"/>
      <c r="E128" s="29"/>
      <c r="F128" s="29"/>
    </row>
    <row r="129" spans="1:6" x14ac:dyDescent="0.25">
      <c r="A129" s="1" t="s">
        <v>9</v>
      </c>
      <c r="B129" s="1" t="s">
        <v>114</v>
      </c>
      <c r="C129" s="1" t="s">
        <v>115</v>
      </c>
      <c r="D129" s="1" t="s">
        <v>116</v>
      </c>
      <c r="E129" s="1" t="s">
        <v>117</v>
      </c>
      <c r="F129" s="1" t="s">
        <v>52</v>
      </c>
    </row>
    <row r="130" spans="1:6" ht="28.5" x14ac:dyDescent="0.25">
      <c r="A130" s="2" t="s">
        <v>118</v>
      </c>
      <c r="B130" s="2" t="s">
        <v>403</v>
      </c>
      <c r="C130" s="2" t="s">
        <v>404</v>
      </c>
      <c r="D130" s="2" t="s">
        <v>177</v>
      </c>
      <c r="E130" s="2" t="s">
        <v>405</v>
      </c>
      <c r="F130" s="2" t="s">
        <v>406</v>
      </c>
    </row>
    <row r="131" spans="1:6" ht="28.5" x14ac:dyDescent="0.25">
      <c r="A131" s="2" t="s">
        <v>407</v>
      </c>
      <c r="B131" s="2" t="s">
        <v>408</v>
      </c>
      <c r="C131" s="2" t="s">
        <v>409</v>
      </c>
      <c r="D131" s="2" t="s">
        <v>177</v>
      </c>
      <c r="E131" s="2" t="s">
        <v>177</v>
      </c>
      <c r="F131" s="2" t="s">
        <v>406</v>
      </c>
    </row>
    <row r="132" spans="1:6" x14ac:dyDescent="0.25">
      <c r="A132" s="2" t="s">
        <v>410</v>
      </c>
      <c r="B132" s="2" t="s">
        <v>411</v>
      </c>
      <c r="C132" s="6" t="s">
        <v>416</v>
      </c>
      <c r="D132" s="2" t="s">
        <v>177</v>
      </c>
      <c r="E132" s="2" t="s">
        <v>177</v>
      </c>
      <c r="F132" s="2" t="s">
        <v>406</v>
      </c>
    </row>
    <row r="133" spans="1:6" x14ac:dyDescent="0.25">
      <c r="A133" s="2" t="s">
        <v>412</v>
      </c>
      <c r="B133" s="2" t="s">
        <v>413</v>
      </c>
      <c r="C133" s="2" t="s">
        <v>414</v>
      </c>
      <c r="D133" s="2" t="s">
        <v>415</v>
      </c>
      <c r="E133" s="2" t="s">
        <v>415</v>
      </c>
      <c r="F133" s="2" t="s">
        <v>406</v>
      </c>
    </row>
    <row r="134" spans="1:6" ht="20.100000000000001" customHeight="1" x14ac:dyDescent="0.25">
      <c r="A134" s="2"/>
      <c r="B134" s="2"/>
      <c r="C134" s="2"/>
      <c r="D134" s="2"/>
      <c r="E134" s="2"/>
      <c r="F134" s="2"/>
    </row>
  </sheetData>
  <mergeCells count="34">
    <mergeCell ref="A128:F128"/>
    <mergeCell ref="A40:E40"/>
    <mergeCell ref="A9:E9"/>
    <mergeCell ref="F4:J4"/>
    <mergeCell ref="A79:E79"/>
    <mergeCell ref="A29:F29"/>
    <mergeCell ref="A51:J51"/>
    <mergeCell ref="A127:F127"/>
    <mergeCell ref="A112:E112"/>
    <mergeCell ref="A78:E78"/>
    <mergeCell ref="A92:E92"/>
    <mergeCell ref="A101:E101"/>
    <mergeCell ref="A62:E62"/>
    <mergeCell ref="A102:E102"/>
    <mergeCell ref="A91:E91"/>
    <mergeCell ref="A111:E111"/>
    <mergeCell ref="A4:E4"/>
    <mergeCell ref="A5:E5"/>
    <mergeCell ref="A1:B1"/>
    <mergeCell ref="F6:J6"/>
    <mergeCell ref="A61:E61"/>
    <mergeCell ref="A6:E6"/>
    <mergeCell ref="A52:J52"/>
    <mergeCell ref="C1:D1"/>
    <mergeCell ref="E1:F1"/>
    <mergeCell ref="A41:E41"/>
    <mergeCell ref="F5:J5"/>
    <mergeCell ref="A2:B2"/>
    <mergeCell ref="A28:F28"/>
    <mergeCell ref="C2:D2"/>
    <mergeCell ref="A19:F19"/>
    <mergeCell ref="A8:E8"/>
    <mergeCell ref="A18:F18"/>
    <mergeCell ref="E2:F2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1" width="68" customWidth="1"/>
    <col min="2" max="2" width="67.42578125" customWidth="1"/>
    <col min="3" max="3" width="100.140625" customWidth="1"/>
  </cols>
  <sheetData>
    <row r="1" spans="1:3" x14ac:dyDescent="0.25">
      <c r="A1" s="1" t="s">
        <v>119</v>
      </c>
      <c r="B1" s="1" t="s">
        <v>120</v>
      </c>
      <c r="C1" s="1" t="s">
        <v>12</v>
      </c>
    </row>
    <row r="2" spans="1:3" x14ac:dyDescent="0.25">
      <c r="A2" s="3" t="s">
        <v>121</v>
      </c>
    </row>
    <row r="3" spans="1:3" ht="42.75" x14ac:dyDescent="0.25">
      <c r="A3" s="2" t="s">
        <v>122</v>
      </c>
      <c r="B3" s="2" t="s">
        <v>427</v>
      </c>
      <c r="C3" s="2" t="s">
        <v>428</v>
      </c>
    </row>
    <row r="5" spans="1:3" x14ac:dyDescent="0.25">
      <c r="A5" s="3" t="s">
        <v>123</v>
      </c>
    </row>
    <row r="6" spans="1:3" ht="28.5" x14ac:dyDescent="0.25">
      <c r="A6" s="2" t="s">
        <v>124</v>
      </c>
      <c r="B6" s="2" t="s">
        <v>429</v>
      </c>
      <c r="C6" s="2" t="s">
        <v>430</v>
      </c>
    </row>
    <row r="7" spans="1:3" ht="71.25" x14ac:dyDescent="0.25">
      <c r="A7" s="2" t="s">
        <v>125</v>
      </c>
      <c r="B7" s="2" t="s">
        <v>431</v>
      </c>
      <c r="C7" s="2" t="s">
        <v>432</v>
      </c>
    </row>
    <row r="8" spans="1:3" ht="57" x14ac:dyDescent="0.25">
      <c r="A8" s="2" t="s">
        <v>126</v>
      </c>
      <c r="B8" s="2" t="s">
        <v>623</v>
      </c>
      <c r="C8" s="2" t="s">
        <v>624</v>
      </c>
    </row>
    <row r="9" spans="1:3" ht="28.5" x14ac:dyDescent="0.25">
      <c r="A9" s="2" t="s">
        <v>127</v>
      </c>
      <c r="B9" s="2" t="s">
        <v>436</v>
      </c>
      <c r="C9" s="2" t="s">
        <v>435</v>
      </c>
    </row>
    <row r="10" spans="1:3" ht="57" x14ac:dyDescent="0.25">
      <c r="A10" s="2" t="s">
        <v>128</v>
      </c>
      <c r="B10" s="2" t="s">
        <v>434</v>
      </c>
      <c r="C10" s="2" t="s">
        <v>433</v>
      </c>
    </row>
    <row r="12" spans="1:3" x14ac:dyDescent="0.25">
      <c r="A12" s="3" t="s">
        <v>129</v>
      </c>
    </row>
    <row r="13" spans="1:3" ht="42.75" x14ac:dyDescent="0.25">
      <c r="A13" s="2" t="s">
        <v>130</v>
      </c>
      <c r="B13" s="2" t="s">
        <v>437</v>
      </c>
      <c r="C13" s="2"/>
    </row>
    <row r="14" spans="1:3" ht="28.5" x14ac:dyDescent="0.25">
      <c r="A14" s="2" t="s">
        <v>131</v>
      </c>
      <c r="B14" s="2" t="s">
        <v>438</v>
      </c>
      <c r="C14" s="2"/>
    </row>
    <row r="15" spans="1:3" ht="28.5" x14ac:dyDescent="0.25">
      <c r="A15" s="2" t="s">
        <v>132</v>
      </c>
      <c r="B15" s="2" t="s">
        <v>439</v>
      </c>
      <c r="C15" s="2"/>
    </row>
    <row r="17" spans="1:3" x14ac:dyDescent="0.25">
      <c r="A17" s="3" t="s">
        <v>133</v>
      </c>
    </row>
    <row r="18" spans="1:3" ht="28.5" x14ac:dyDescent="0.25">
      <c r="A18" s="2" t="s">
        <v>134</v>
      </c>
      <c r="B18" s="2" t="s">
        <v>442</v>
      </c>
      <c r="C18" s="2" t="s">
        <v>444</v>
      </c>
    </row>
    <row r="19" spans="1:3" ht="28.5" x14ac:dyDescent="0.25">
      <c r="A19" s="2" t="s">
        <v>135</v>
      </c>
      <c r="B19" s="2" t="s">
        <v>441</v>
      </c>
      <c r="C19" s="2" t="s">
        <v>440</v>
      </c>
    </row>
    <row r="20" spans="1:3" x14ac:dyDescent="0.25">
      <c r="A20" s="2" t="s">
        <v>136</v>
      </c>
      <c r="B20" s="2" t="s">
        <v>443</v>
      </c>
      <c r="C20" s="2" t="s">
        <v>446</v>
      </c>
    </row>
    <row r="21" spans="1:3" x14ac:dyDescent="0.25">
      <c r="A21" s="2" t="s">
        <v>137</v>
      </c>
      <c r="B21" s="2" t="s">
        <v>447</v>
      </c>
      <c r="C21" s="2" t="s">
        <v>448</v>
      </c>
    </row>
    <row r="22" spans="1:3" ht="71.25" x14ac:dyDescent="0.25">
      <c r="A22" s="2" t="s">
        <v>138</v>
      </c>
      <c r="B22" s="2" t="s">
        <v>449</v>
      </c>
      <c r="C22" s="2"/>
    </row>
    <row r="23" spans="1:3" x14ac:dyDescent="0.25">
      <c r="A23" s="2" t="s">
        <v>139</v>
      </c>
      <c r="B23" s="2" t="s">
        <v>450</v>
      </c>
      <c r="C23" s="2" t="s">
        <v>451</v>
      </c>
    </row>
    <row r="25" spans="1:3" x14ac:dyDescent="0.25">
      <c r="A25" s="3" t="s">
        <v>140</v>
      </c>
    </row>
    <row r="26" spans="1:3" ht="28.5" x14ac:dyDescent="0.25">
      <c r="A26" s="2" t="s">
        <v>141</v>
      </c>
      <c r="B26" s="2" t="s">
        <v>452</v>
      </c>
      <c r="C26" s="2"/>
    </row>
    <row r="27" spans="1:3" ht="28.5" x14ac:dyDescent="0.25">
      <c r="A27" s="2" t="s">
        <v>142</v>
      </c>
      <c r="B27" s="2" t="s">
        <v>453</v>
      </c>
      <c r="C27" s="2"/>
    </row>
    <row r="28" spans="1:3" ht="42.75" x14ac:dyDescent="0.25">
      <c r="A28" s="2" t="s">
        <v>143</v>
      </c>
      <c r="B28" s="2" t="s">
        <v>454</v>
      </c>
      <c r="C28" s="2"/>
    </row>
    <row r="29" spans="1:3" ht="42.75" x14ac:dyDescent="0.25">
      <c r="A29" s="2" t="s">
        <v>144</v>
      </c>
      <c r="B29" s="2" t="s">
        <v>455</v>
      </c>
      <c r="C29" s="2"/>
    </row>
    <row r="30" spans="1:3" x14ac:dyDescent="0.25">
      <c r="A30" s="2" t="s">
        <v>145</v>
      </c>
      <c r="B30" s="2" t="s">
        <v>456</v>
      </c>
      <c r="C30" s="2"/>
    </row>
    <row r="32" spans="1:3" x14ac:dyDescent="0.25">
      <c r="A32" s="3" t="s">
        <v>146</v>
      </c>
    </row>
    <row r="33" spans="1:3" ht="28.5" x14ac:dyDescent="0.25">
      <c r="A33" s="2" t="s">
        <v>147</v>
      </c>
      <c r="B33" s="2" t="s">
        <v>459</v>
      </c>
      <c r="C33" s="2" t="s">
        <v>460</v>
      </c>
    </row>
    <row r="34" spans="1:3" ht="28.5" x14ac:dyDescent="0.25">
      <c r="A34" s="2" t="s">
        <v>148</v>
      </c>
      <c r="B34" s="2" t="s">
        <v>461</v>
      </c>
      <c r="C34" s="2"/>
    </row>
    <row r="35" spans="1:3" x14ac:dyDescent="0.25">
      <c r="A35" s="2" t="s">
        <v>149</v>
      </c>
      <c r="B35" s="2" t="s">
        <v>462</v>
      </c>
      <c r="C35" s="2" t="s">
        <v>463</v>
      </c>
    </row>
    <row r="36" spans="1:3" ht="28.5" x14ac:dyDescent="0.25">
      <c r="A36" s="2" t="s">
        <v>150</v>
      </c>
      <c r="B36" s="2" t="s">
        <v>464</v>
      </c>
      <c r="C36" s="2" t="s">
        <v>465</v>
      </c>
    </row>
    <row r="38" spans="1:3" x14ac:dyDescent="0.25">
      <c r="A38" s="3" t="s">
        <v>151</v>
      </c>
    </row>
    <row r="39" spans="1:3" ht="42.75" x14ac:dyDescent="0.25">
      <c r="A39" s="2" t="s">
        <v>152</v>
      </c>
      <c r="B39" s="2" t="s">
        <v>666</v>
      </c>
      <c r="C39" s="11"/>
    </row>
    <row r="40" spans="1:3" ht="28.5" x14ac:dyDescent="0.25">
      <c r="A40" s="2" t="s">
        <v>153</v>
      </c>
      <c r="B40" s="2" t="s">
        <v>466</v>
      </c>
      <c r="C40" s="2"/>
    </row>
    <row r="41" spans="1:3" ht="28.5" x14ac:dyDescent="0.25">
      <c r="A41" s="2" t="s">
        <v>154</v>
      </c>
      <c r="B41" s="2" t="s">
        <v>467</v>
      </c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6"/>
  <sheetViews>
    <sheetView tabSelected="1" topLeftCell="A12" workbookViewId="0">
      <selection activeCell="E33" sqref="E33"/>
    </sheetView>
  </sheetViews>
  <sheetFormatPr defaultRowHeight="15" x14ac:dyDescent="0.25"/>
  <cols>
    <col min="1" max="1" width="8.28515625" bestFit="1" customWidth="1"/>
    <col min="2" max="2" width="72.42578125" customWidth="1"/>
    <col min="3" max="3" width="21" bestFit="1" customWidth="1"/>
    <col min="4" max="4" width="54.5703125" bestFit="1" customWidth="1"/>
    <col min="5" max="5" width="52.140625" customWidth="1"/>
    <col min="6" max="6" width="18" customWidth="1"/>
    <col min="7" max="7" width="24" customWidth="1"/>
  </cols>
  <sheetData>
    <row r="1" spans="1:4" x14ac:dyDescent="0.25">
      <c r="A1" s="34" t="s">
        <v>155</v>
      </c>
      <c r="B1" s="27"/>
      <c r="C1" s="27"/>
      <c r="D1" s="27"/>
    </row>
    <row r="2" spans="1:4" x14ac:dyDescent="0.25">
      <c r="A2" s="28" t="s">
        <v>156</v>
      </c>
      <c r="B2" s="29"/>
      <c r="C2" s="29"/>
      <c r="D2" s="29"/>
    </row>
    <row r="3" spans="1:4" x14ac:dyDescent="0.25">
      <c r="A3" s="1" t="s">
        <v>9</v>
      </c>
      <c r="B3" s="1" t="s">
        <v>157</v>
      </c>
      <c r="C3" s="1" t="s">
        <v>24</v>
      </c>
      <c r="D3" s="1" t="s">
        <v>12</v>
      </c>
    </row>
    <row r="4" spans="1:4" ht="28.5" x14ac:dyDescent="0.25">
      <c r="A4" s="2" t="s">
        <v>158</v>
      </c>
      <c r="B4" s="2" t="s">
        <v>468</v>
      </c>
      <c r="C4" s="2" t="s">
        <v>159</v>
      </c>
      <c r="D4" s="2" t="s">
        <v>26</v>
      </c>
    </row>
    <row r="5" spans="1:4" ht="28.5" x14ac:dyDescent="0.25">
      <c r="A5" s="2" t="s">
        <v>469</v>
      </c>
      <c r="B5" s="2" t="s">
        <v>470</v>
      </c>
      <c r="C5" s="2" t="s">
        <v>159</v>
      </c>
      <c r="D5" s="2" t="s">
        <v>322</v>
      </c>
    </row>
    <row r="6" spans="1:4" x14ac:dyDescent="0.25">
      <c r="A6" s="2" t="s">
        <v>471</v>
      </c>
      <c r="B6" s="2" t="s">
        <v>472</v>
      </c>
      <c r="C6" s="2" t="s">
        <v>159</v>
      </c>
      <c r="D6" s="2" t="s">
        <v>323</v>
      </c>
    </row>
    <row r="7" spans="1:4" x14ac:dyDescent="0.25">
      <c r="A7" s="2" t="s">
        <v>473</v>
      </c>
      <c r="B7" s="2" t="s">
        <v>474</v>
      </c>
      <c r="C7" s="2" t="s">
        <v>159</v>
      </c>
      <c r="D7" s="2" t="s">
        <v>324</v>
      </c>
    </row>
    <row r="8" spans="1:4" ht="28.5" x14ac:dyDescent="0.25">
      <c r="A8" s="2" t="s">
        <v>475</v>
      </c>
      <c r="B8" s="2" t="s">
        <v>476</v>
      </c>
      <c r="C8" s="2" t="s">
        <v>159</v>
      </c>
      <c r="D8" s="2" t="s">
        <v>477</v>
      </c>
    </row>
    <row r="9" spans="1:4" ht="28.5" x14ac:dyDescent="0.25">
      <c r="A9" s="2" t="s">
        <v>478</v>
      </c>
      <c r="B9" s="2" t="s">
        <v>479</v>
      </c>
      <c r="C9" s="2" t="s">
        <v>159</v>
      </c>
      <c r="D9" s="2" t="s">
        <v>480</v>
      </c>
    </row>
    <row r="10" spans="1:4" ht="28.5" x14ac:dyDescent="0.25">
      <c r="A10" s="2" t="s">
        <v>481</v>
      </c>
      <c r="B10" s="2" t="s">
        <v>482</v>
      </c>
      <c r="C10" s="2" t="s">
        <v>159</v>
      </c>
      <c r="D10" s="2" t="s">
        <v>326</v>
      </c>
    </row>
    <row r="11" spans="1:4" ht="28.5" x14ac:dyDescent="0.25">
      <c r="A11" s="2" t="s">
        <v>483</v>
      </c>
      <c r="B11" s="2" t="s">
        <v>484</v>
      </c>
      <c r="C11" s="2" t="s">
        <v>159</v>
      </c>
      <c r="D11" s="2" t="s">
        <v>328</v>
      </c>
    </row>
    <row r="12" spans="1:4" ht="28.5" x14ac:dyDescent="0.25">
      <c r="A12" s="2" t="s">
        <v>485</v>
      </c>
      <c r="B12" s="2" t="s">
        <v>486</v>
      </c>
      <c r="C12" s="2" t="s">
        <v>159</v>
      </c>
      <c r="D12" s="2" t="s">
        <v>487</v>
      </c>
    </row>
    <row r="13" spans="1:4" ht="28.5" x14ac:dyDescent="0.25">
      <c r="A13" s="2" t="s">
        <v>488</v>
      </c>
      <c r="B13" s="2" t="s">
        <v>489</v>
      </c>
      <c r="C13" s="2" t="s">
        <v>159</v>
      </c>
      <c r="D13" s="2" t="s">
        <v>490</v>
      </c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5" x14ac:dyDescent="0.25">
      <c r="A17" s="2"/>
      <c r="B17" s="2"/>
      <c r="C17" s="2"/>
      <c r="D17" s="2"/>
    </row>
    <row r="18" spans="1:5" x14ac:dyDescent="0.25">
      <c r="A18" s="2"/>
      <c r="B18" s="2"/>
      <c r="C18" s="2"/>
      <c r="D18" s="2"/>
    </row>
    <row r="19" spans="1:5" x14ac:dyDescent="0.25">
      <c r="A19" s="2"/>
      <c r="B19" s="2"/>
      <c r="C19" s="2"/>
      <c r="D19" s="2"/>
    </row>
    <row r="20" spans="1:5" x14ac:dyDescent="0.25">
      <c r="A20" s="2"/>
      <c r="B20" s="2"/>
      <c r="C20" s="2"/>
      <c r="D20" s="2"/>
    </row>
    <row r="22" spans="1:5" x14ac:dyDescent="0.25">
      <c r="A22" s="34" t="s">
        <v>160</v>
      </c>
      <c r="B22" s="27"/>
      <c r="C22" s="27"/>
      <c r="D22" s="27"/>
      <c r="E22" s="27"/>
    </row>
    <row r="23" spans="1:5" x14ac:dyDescent="0.25">
      <c r="A23" s="28" t="s">
        <v>161</v>
      </c>
      <c r="B23" s="29"/>
      <c r="C23" s="29"/>
      <c r="D23" s="29"/>
      <c r="E23" s="29"/>
    </row>
    <row r="24" spans="1:5" x14ac:dyDescent="0.25">
      <c r="A24" s="1" t="s">
        <v>9</v>
      </c>
      <c r="B24" s="1" t="s">
        <v>157</v>
      </c>
      <c r="C24" s="1" t="s">
        <v>86</v>
      </c>
      <c r="D24" s="1" t="s">
        <v>162</v>
      </c>
      <c r="E24" s="1" t="s">
        <v>12</v>
      </c>
    </row>
    <row r="25" spans="1:5" ht="28.5" x14ac:dyDescent="0.25">
      <c r="A25" s="2" t="s">
        <v>163</v>
      </c>
      <c r="B25" s="2" t="s">
        <v>491</v>
      </c>
      <c r="C25" s="2" t="s">
        <v>164</v>
      </c>
      <c r="D25" s="2" t="s">
        <v>492</v>
      </c>
      <c r="E25" s="2" t="s">
        <v>493</v>
      </c>
    </row>
    <row r="26" spans="1:5" ht="28.5" x14ac:dyDescent="0.25">
      <c r="A26" s="2" t="s">
        <v>494</v>
      </c>
      <c r="B26" s="2" t="s">
        <v>495</v>
      </c>
      <c r="C26" s="2" t="s">
        <v>164</v>
      </c>
      <c r="D26" s="2" t="s">
        <v>496</v>
      </c>
      <c r="E26" s="2" t="s">
        <v>75</v>
      </c>
    </row>
    <row r="27" spans="1:5" ht="28.5" x14ac:dyDescent="0.25">
      <c r="A27" s="2" t="s">
        <v>497</v>
      </c>
      <c r="B27" s="2" t="s">
        <v>498</v>
      </c>
      <c r="C27" s="2" t="s">
        <v>67</v>
      </c>
      <c r="D27" s="2" t="s">
        <v>499</v>
      </c>
      <c r="E27" s="2" t="s">
        <v>500</v>
      </c>
    </row>
    <row r="28" spans="1:5" ht="28.5" x14ac:dyDescent="0.25">
      <c r="A28" s="2" t="s">
        <v>501</v>
      </c>
      <c r="B28" s="2" t="s">
        <v>502</v>
      </c>
      <c r="C28" s="2" t="s">
        <v>164</v>
      </c>
      <c r="D28" s="2" t="s">
        <v>669</v>
      </c>
      <c r="E28" s="2" t="s">
        <v>72</v>
      </c>
    </row>
    <row r="29" spans="1:5" ht="42.75" x14ac:dyDescent="0.25">
      <c r="A29" s="2" t="s">
        <v>503</v>
      </c>
      <c r="B29" s="2" t="s">
        <v>504</v>
      </c>
      <c r="C29" s="2" t="s">
        <v>505</v>
      </c>
      <c r="D29" s="2" t="s">
        <v>506</v>
      </c>
      <c r="E29" s="2" t="s">
        <v>485</v>
      </c>
    </row>
    <row r="30" spans="1:5" ht="28.5" x14ac:dyDescent="0.25">
      <c r="A30" s="2" t="s">
        <v>507</v>
      </c>
      <c r="B30" s="2" t="s">
        <v>508</v>
      </c>
      <c r="C30" s="2" t="s">
        <v>505</v>
      </c>
      <c r="D30" s="2" t="s">
        <v>509</v>
      </c>
      <c r="E30" s="2" t="s">
        <v>53</v>
      </c>
    </row>
    <row r="31" spans="1:5" x14ac:dyDescent="0.25">
      <c r="A31" s="2" t="s">
        <v>510</v>
      </c>
      <c r="B31" s="2" t="s">
        <v>511</v>
      </c>
      <c r="C31" s="2" t="s">
        <v>505</v>
      </c>
      <c r="D31" s="2" t="s">
        <v>512</v>
      </c>
      <c r="E31" s="2" t="s">
        <v>348</v>
      </c>
    </row>
    <row r="32" spans="1:5" x14ac:dyDescent="0.25">
      <c r="A32" s="2" t="s">
        <v>513</v>
      </c>
      <c r="B32" s="2" t="s">
        <v>514</v>
      </c>
      <c r="C32" s="2" t="s">
        <v>515</v>
      </c>
      <c r="D32" s="2" t="s">
        <v>662</v>
      </c>
      <c r="E32" s="2" t="s">
        <v>674</v>
      </c>
    </row>
    <row r="33" spans="1:6" x14ac:dyDescent="0.25">
      <c r="A33" s="2" t="s">
        <v>516</v>
      </c>
      <c r="B33" s="2" t="s">
        <v>517</v>
      </c>
      <c r="C33" s="2" t="s">
        <v>515</v>
      </c>
      <c r="D33" s="2" t="s">
        <v>518</v>
      </c>
      <c r="E33" s="2" t="s">
        <v>665</v>
      </c>
    </row>
    <row r="34" spans="1:6" ht="28.5" x14ac:dyDescent="0.25">
      <c r="A34" s="2" t="s">
        <v>519</v>
      </c>
      <c r="B34" s="2" t="s">
        <v>520</v>
      </c>
      <c r="C34" s="2" t="s">
        <v>521</v>
      </c>
      <c r="D34" s="2" t="s">
        <v>522</v>
      </c>
      <c r="E34" s="2" t="s">
        <v>523</v>
      </c>
    </row>
    <row r="35" spans="1:6" ht="28.5" x14ac:dyDescent="0.25">
      <c r="A35" s="2" t="s">
        <v>524</v>
      </c>
      <c r="B35" s="2" t="s">
        <v>525</v>
      </c>
      <c r="C35" s="2" t="s">
        <v>505</v>
      </c>
      <c r="D35" s="2" t="s">
        <v>526</v>
      </c>
      <c r="E35" s="2" t="s">
        <v>527</v>
      </c>
    </row>
    <row r="36" spans="1:6" x14ac:dyDescent="0.25">
      <c r="A36" s="2"/>
      <c r="B36" s="2"/>
      <c r="C36" s="2"/>
      <c r="D36" s="2"/>
      <c r="E36" s="2"/>
    </row>
    <row r="37" spans="1:6" x14ac:dyDescent="0.25">
      <c r="A37" s="2"/>
      <c r="B37" s="2"/>
      <c r="C37" s="2"/>
      <c r="D37" s="2"/>
      <c r="E37" s="2"/>
    </row>
    <row r="38" spans="1:6" x14ac:dyDescent="0.25">
      <c r="A38" s="2"/>
      <c r="B38" s="2"/>
      <c r="C38" s="2"/>
      <c r="D38" s="2"/>
      <c r="E38" s="2"/>
    </row>
    <row r="39" spans="1:6" x14ac:dyDescent="0.25">
      <c r="A39" s="2"/>
      <c r="B39" s="2"/>
      <c r="C39" s="2"/>
      <c r="D39" s="2"/>
      <c r="E39" s="2"/>
    </row>
    <row r="41" spans="1:6" x14ac:dyDescent="0.25">
      <c r="A41" s="34" t="s">
        <v>171</v>
      </c>
      <c r="B41" s="27"/>
      <c r="C41" s="27"/>
      <c r="D41" s="27"/>
      <c r="E41" s="27"/>
      <c r="F41" s="27"/>
    </row>
    <row r="42" spans="1:6" x14ac:dyDescent="0.25">
      <c r="A42" s="28" t="s">
        <v>172</v>
      </c>
      <c r="B42" s="29"/>
      <c r="C42" s="29"/>
      <c r="D42" s="29"/>
      <c r="E42" s="29"/>
      <c r="F42" s="29"/>
    </row>
    <row r="43" spans="1:6" x14ac:dyDescent="0.25">
      <c r="A43" s="1" t="s">
        <v>9</v>
      </c>
      <c r="B43" s="1" t="s">
        <v>173</v>
      </c>
      <c r="C43" s="1" t="s">
        <v>174</v>
      </c>
      <c r="D43" s="1" t="s">
        <v>175</v>
      </c>
      <c r="E43" s="1" t="s">
        <v>12</v>
      </c>
      <c r="F43" s="1" t="s">
        <v>116</v>
      </c>
    </row>
    <row r="44" spans="1:6" ht="28.5" x14ac:dyDescent="0.25">
      <c r="A44" s="2" t="s">
        <v>176</v>
      </c>
      <c r="B44" s="2" t="s">
        <v>399</v>
      </c>
      <c r="C44" s="2" t="s">
        <v>528</v>
      </c>
      <c r="D44" s="2" t="s">
        <v>529</v>
      </c>
      <c r="E44" s="2" t="s">
        <v>530</v>
      </c>
      <c r="F44" s="2" t="s">
        <v>405</v>
      </c>
    </row>
    <row r="45" spans="1:6" x14ac:dyDescent="0.25">
      <c r="A45" s="2" t="s">
        <v>531</v>
      </c>
      <c r="B45" s="2" t="s">
        <v>532</v>
      </c>
      <c r="C45" s="2" t="s">
        <v>383</v>
      </c>
      <c r="D45" s="2" t="s">
        <v>533</v>
      </c>
      <c r="E45" s="2" t="s">
        <v>386</v>
      </c>
      <c r="F45" s="2" t="s">
        <v>405</v>
      </c>
    </row>
    <row r="46" spans="1:6" x14ac:dyDescent="0.25">
      <c r="A46" s="2" t="s">
        <v>534</v>
      </c>
      <c r="B46" s="2" t="s">
        <v>535</v>
      </c>
      <c r="C46" s="2" t="s">
        <v>536</v>
      </c>
      <c r="D46" s="2" t="s">
        <v>537</v>
      </c>
      <c r="E46" s="2" t="s">
        <v>538</v>
      </c>
      <c r="F46" s="2" t="s">
        <v>405</v>
      </c>
    </row>
    <row r="47" spans="1:6" x14ac:dyDescent="0.25">
      <c r="A47" s="2" t="s">
        <v>539</v>
      </c>
      <c r="B47" s="2" t="s">
        <v>540</v>
      </c>
      <c r="C47" s="2" t="s">
        <v>541</v>
      </c>
      <c r="D47" s="2" t="s">
        <v>542</v>
      </c>
      <c r="E47" s="2" t="s">
        <v>543</v>
      </c>
      <c r="F47" s="2" t="s">
        <v>405</v>
      </c>
    </row>
    <row r="48" spans="1:6" x14ac:dyDescent="0.25">
      <c r="A48" s="2" t="s">
        <v>544</v>
      </c>
      <c r="B48" s="2" t="s">
        <v>545</v>
      </c>
      <c r="C48" s="2" t="s">
        <v>541</v>
      </c>
      <c r="D48" s="2" t="s">
        <v>542</v>
      </c>
      <c r="E48" s="2" t="s">
        <v>546</v>
      </c>
      <c r="F48" s="2" t="s">
        <v>405</v>
      </c>
    </row>
    <row r="49" spans="1:6" ht="99.75" x14ac:dyDescent="0.25">
      <c r="A49" s="2" t="s">
        <v>547</v>
      </c>
      <c r="B49" s="2" t="s">
        <v>548</v>
      </c>
      <c r="C49" s="2" t="s">
        <v>549</v>
      </c>
      <c r="D49" s="2" t="s">
        <v>542</v>
      </c>
      <c r="E49" s="2" t="s">
        <v>550</v>
      </c>
      <c r="F49" s="2" t="s">
        <v>405</v>
      </c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  <row r="52" spans="1:6" x14ac:dyDescent="0.25">
      <c r="A52" s="2"/>
      <c r="B52" s="2"/>
      <c r="C52" s="2"/>
      <c r="D52" s="2"/>
      <c r="E52" s="2"/>
      <c r="F52" s="2"/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</sheetData>
  <mergeCells count="6">
    <mergeCell ref="A1:D1"/>
    <mergeCell ref="A42:F42"/>
    <mergeCell ref="A23:E23"/>
    <mergeCell ref="A2:D2"/>
    <mergeCell ref="A41:F41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A461-9D68-4FE8-B85C-061FECC6C0DE}">
  <dimension ref="A1:E41"/>
  <sheetViews>
    <sheetView workbookViewId="0">
      <selection activeCell="E29" sqref="E29"/>
    </sheetView>
  </sheetViews>
  <sheetFormatPr defaultRowHeight="15" x14ac:dyDescent="0.25"/>
  <cols>
    <col min="1" max="1" width="7.5703125" bestFit="1" customWidth="1"/>
    <col min="2" max="2" width="25.7109375" customWidth="1"/>
    <col min="3" max="3" width="30.7109375" bestFit="1" customWidth="1"/>
    <col min="4" max="4" width="58" customWidth="1"/>
    <col min="5" max="5" width="67.5703125" customWidth="1"/>
  </cols>
  <sheetData>
    <row r="1" spans="1:5" x14ac:dyDescent="0.25">
      <c r="A1" s="34" t="s">
        <v>551</v>
      </c>
      <c r="B1" s="27"/>
      <c r="C1" s="27"/>
      <c r="D1" s="27"/>
      <c r="E1" s="27"/>
    </row>
    <row r="2" spans="1:5" x14ac:dyDescent="0.25">
      <c r="A2" s="28" t="s">
        <v>552</v>
      </c>
      <c r="B2" s="29"/>
      <c r="C2" s="29"/>
      <c r="D2" s="29"/>
      <c r="E2" s="29"/>
    </row>
    <row r="3" spans="1:5" x14ac:dyDescent="0.25">
      <c r="A3" s="1" t="s">
        <v>9</v>
      </c>
      <c r="B3" s="1" t="s">
        <v>166</v>
      </c>
      <c r="C3" s="1" t="s">
        <v>23</v>
      </c>
      <c r="D3" s="1" t="s">
        <v>167</v>
      </c>
      <c r="E3" s="1" t="s">
        <v>12</v>
      </c>
    </row>
    <row r="4" spans="1:5" ht="28.5" x14ac:dyDescent="0.25">
      <c r="A4" s="2" t="s">
        <v>170</v>
      </c>
      <c r="B4" s="2" t="s">
        <v>306</v>
      </c>
      <c r="C4" s="2" t="s">
        <v>553</v>
      </c>
      <c r="D4" s="2" t="s">
        <v>554</v>
      </c>
      <c r="E4" s="2" t="s">
        <v>555</v>
      </c>
    </row>
    <row r="5" spans="1:5" x14ac:dyDescent="0.25">
      <c r="A5" s="2" t="s">
        <v>556</v>
      </c>
      <c r="B5" s="2" t="s">
        <v>557</v>
      </c>
      <c r="C5" s="2" t="s">
        <v>558</v>
      </c>
      <c r="D5" s="2" t="s">
        <v>559</v>
      </c>
      <c r="E5" s="2" t="s">
        <v>560</v>
      </c>
    </row>
    <row r="6" spans="1:5" x14ac:dyDescent="0.25">
      <c r="A6" s="2" t="s">
        <v>561</v>
      </c>
      <c r="B6" s="2" t="s">
        <v>562</v>
      </c>
      <c r="C6" s="2" t="s">
        <v>563</v>
      </c>
      <c r="D6" s="2" t="s">
        <v>564</v>
      </c>
      <c r="E6" s="2"/>
    </row>
    <row r="7" spans="1:5" ht="28.5" x14ac:dyDescent="0.25">
      <c r="A7" s="2" t="s">
        <v>565</v>
      </c>
      <c r="B7" s="2" t="s">
        <v>566</v>
      </c>
      <c r="C7" s="2" t="s">
        <v>567</v>
      </c>
      <c r="D7" s="2" t="s">
        <v>568</v>
      </c>
      <c r="E7" s="2" t="s">
        <v>569</v>
      </c>
    </row>
    <row r="8" spans="1:5" x14ac:dyDescent="0.25">
      <c r="A8" s="2" t="s">
        <v>570</v>
      </c>
      <c r="B8" s="2" t="s">
        <v>571</v>
      </c>
      <c r="C8" s="2" t="s">
        <v>572</v>
      </c>
      <c r="D8" s="2" t="s">
        <v>573</v>
      </c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2" spans="1:5" x14ac:dyDescent="0.25">
      <c r="A22" s="34" t="s">
        <v>574</v>
      </c>
      <c r="B22" s="27"/>
      <c r="C22" s="27"/>
      <c r="D22" s="27"/>
      <c r="E22" s="27"/>
    </row>
    <row r="23" spans="1:5" x14ac:dyDescent="0.25">
      <c r="A23" s="28" t="s">
        <v>165</v>
      </c>
      <c r="B23" s="29"/>
      <c r="C23" s="29"/>
      <c r="D23" s="29"/>
      <c r="E23" s="29"/>
    </row>
    <row r="24" spans="1:5" x14ac:dyDescent="0.25">
      <c r="A24" s="1" t="s">
        <v>9</v>
      </c>
      <c r="B24" s="1" t="s">
        <v>575</v>
      </c>
      <c r="C24" s="1" t="s">
        <v>168</v>
      </c>
      <c r="D24" s="1" t="s">
        <v>169</v>
      </c>
      <c r="E24" s="1" t="s">
        <v>12</v>
      </c>
    </row>
    <row r="25" spans="1:5" x14ac:dyDescent="0.25">
      <c r="A25" s="2" t="s">
        <v>576</v>
      </c>
      <c r="B25" s="2" t="s">
        <v>170</v>
      </c>
      <c r="C25" s="2" t="s">
        <v>577</v>
      </c>
      <c r="D25" s="2" t="s">
        <v>616</v>
      </c>
      <c r="E25" s="2" t="s">
        <v>617</v>
      </c>
    </row>
    <row r="26" spans="1:5" x14ac:dyDescent="0.25">
      <c r="A26" s="2" t="s">
        <v>578</v>
      </c>
      <c r="B26" s="2" t="s">
        <v>170</v>
      </c>
      <c r="C26" s="2" t="s">
        <v>663</v>
      </c>
      <c r="D26" s="2" t="s">
        <v>618</v>
      </c>
      <c r="E26" s="2" t="s">
        <v>579</v>
      </c>
    </row>
    <row r="27" spans="1:5" x14ac:dyDescent="0.25">
      <c r="A27" s="2" t="s">
        <v>580</v>
      </c>
      <c r="B27" s="2" t="s">
        <v>556</v>
      </c>
      <c r="C27" s="2" t="s">
        <v>302</v>
      </c>
      <c r="D27" s="2" t="s">
        <v>619</v>
      </c>
      <c r="E27" s="2" t="s">
        <v>581</v>
      </c>
    </row>
    <row r="28" spans="1:5" x14ac:dyDescent="0.25">
      <c r="A28" s="2" t="s">
        <v>582</v>
      </c>
      <c r="B28" s="2" t="s">
        <v>556</v>
      </c>
      <c r="C28" s="2" t="s">
        <v>583</v>
      </c>
      <c r="D28" s="2" t="s">
        <v>620</v>
      </c>
      <c r="E28" s="2" t="s">
        <v>673</v>
      </c>
    </row>
    <row r="29" spans="1:5" ht="28.5" x14ac:dyDescent="0.25">
      <c r="A29" s="2" t="s">
        <v>585</v>
      </c>
      <c r="B29" s="2" t="s">
        <v>556</v>
      </c>
      <c r="C29" s="2" t="s">
        <v>318</v>
      </c>
      <c r="D29" s="2" t="s">
        <v>621</v>
      </c>
      <c r="E29" s="2" t="s">
        <v>586</v>
      </c>
    </row>
    <row r="30" spans="1:5" ht="28.5" x14ac:dyDescent="0.25">
      <c r="A30" s="2" t="s">
        <v>587</v>
      </c>
      <c r="B30" s="2" t="s">
        <v>561</v>
      </c>
      <c r="C30" s="2" t="s">
        <v>588</v>
      </c>
      <c r="D30" s="2" t="s">
        <v>584</v>
      </c>
      <c r="E30" s="2" t="s">
        <v>589</v>
      </c>
    </row>
    <row r="31" spans="1:5" x14ac:dyDescent="0.25">
      <c r="A31" s="2" t="s">
        <v>590</v>
      </c>
      <c r="B31" s="2" t="s">
        <v>561</v>
      </c>
      <c r="C31" s="2" t="s">
        <v>591</v>
      </c>
      <c r="D31" s="2" t="s">
        <v>622</v>
      </c>
      <c r="E31" s="2" t="s">
        <v>672</v>
      </c>
    </row>
    <row r="32" spans="1:5" x14ac:dyDescent="0.25">
      <c r="A32" s="2" t="s">
        <v>592</v>
      </c>
      <c r="B32" s="2" t="s">
        <v>561</v>
      </c>
      <c r="C32" s="2" t="s">
        <v>593</v>
      </c>
      <c r="D32" s="2" t="s">
        <v>670</v>
      </c>
      <c r="E32" s="2" t="s">
        <v>594</v>
      </c>
    </row>
    <row r="33" spans="1:5" x14ac:dyDescent="0.25">
      <c r="A33" s="2" t="s">
        <v>595</v>
      </c>
      <c r="B33" s="2" t="s">
        <v>561</v>
      </c>
      <c r="C33" s="2" t="s">
        <v>596</v>
      </c>
      <c r="D33" s="2" t="s">
        <v>618</v>
      </c>
      <c r="E33" s="2" t="s">
        <v>597</v>
      </c>
    </row>
    <row r="34" spans="1:5" ht="28.5" x14ac:dyDescent="0.25">
      <c r="A34" s="2" t="s">
        <v>598</v>
      </c>
      <c r="B34" s="2" t="s">
        <v>561</v>
      </c>
      <c r="C34" s="2" t="s">
        <v>599</v>
      </c>
      <c r="D34" s="2" t="s">
        <v>621</v>
      </c>
      <c r="E34" s="2" t="s">
        <v>600</v>
      </c>
    </row>
    <row r="35" spans="1:5" x14ac:dyDescent="0.25">
      <c r="A35" s="2" t="s">
        <v>601</v>
      </c>
      <c r="B35" s="2" t="s">
        <v>565</v>
      </c>
      <c r="C35" s="2" t="s">
        <v>602</v>
      </c>
      <c r="D35" s="2" t="s">
        <v>670</v>
      </c>
      <c r="E35" s="2" t="s">
        <v>603</v>
      </c>
    </row>
    <row r="36" spans="1:5" ht="28.5" x14ac:dyDescent="0.25">
      <c r="A36" s="2" t="s">
        <v>604</v>
      </c>
      <c r="B36" s="2" t="s">
        <v>565</v>
      </c>
      <c r="C36" s="2" t="s">
        <v>605</v>
      </c>
      <c r="D36" s="2" t="s">
        <v>620</v>
      </c>
      <c r="E36" s="2" t="s">
        <v>606</v>
      </c>
    </row>
    <row r="37" spans="1:5" x14ac:dyDescent="0.25">
      <c r="A37" s="2" t="s">
        <v>607</v>
      </c>
      <c r="B37" s="2" t="s">
        <v>565</v>
      </c>
      <c r="C37" s="2" t="s">
        <v>608</v>
      </c>
      <c r="D37" s="2" t="s">
        <v>621</v>
      </c>
      <c r="E37" s="2" t="s">
        <v>600</v>
      </c>
    </row>
    <row r="38" spans="1:5" ht="57" x14ac:dyDescent="0.25">
      <c r="A38" s="2" t="s">
        <v>609</v>
      </c>
      <c r="B38" s="2" t="s">
        <v>570</v>
      </c>
      <c r="C38" s="2" t="s">
        <v>610</v>
      </c>
      <c r="D38" s="2" t="s">
        <v>611</v>
      </c>
      <c r="E38" s="2" t="s">
        <v>612</v>
      </c>
    </row>
    <row r="39" spans="1:5" ht="28.5" x14ac:dyDescent="0.25">
      <c r="A39" s="2" t="s">
        <v>613</v>
      </c>
      <c r="B39" s="2" t="s">
        <v>570</v>
      </c>
      <c r="C39" s="2" t="s">
        <v>614</v>
      </c>
      <c r="D39" s="2" t="s">
        <v>670</v>
      </c>
      <c r="E39" s="2" t="s">
        <v>615</v>
      </c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</sheetData>
  <mergeCells count="4">
    <mergeCell ref="A1:E1"/>
    <mergeCell ref="A2:E2"/>
    <mergeCell ref="A22:E22"/>
    <mergeCell ref="A23:E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3" topLeftCell="A4" activePane="bottomLeft" state="frozen"/>
      <selection pane="bottomLeft" activeCell="A17" sqref="A17"/>
    </sheetView>
  </sheetViews>
  <sheetFormatPr defaultRowHeight="15" x14ac:dyDescent="0.25"/>
  <cols>
    <col min="1" max="1" width="33.5703125" bestFit="1" customWidth="1"/>
    <col min="2" max="2" width="60.28515625" bestFit="1" customWidth="1"/>
    <col min="3" max="3" width="16.5703125" bestFit="1" customWidth="1"/>
    <col min="4" max="4" width="10" bestFit="1" customWidth="1"/>
    <col min="5" max="5" width="101.28515625" customWidth="1"/>
  </cols>
  <sheetData>
    <row r="1" spans="1:5" x14ac:dyDescent="0.25">
      <c r="A1" s="34" t="s">
        <v>178</v>
      </c>
      <c r="B1" s="27"/>
      <c r="C1" s="27"/>
      <c r="D1" s="27"/>
      <c r="E1" s="27"/>
    </row>
    <row r="2" spans="1:5" x14ac:dyDescent="0.25">
      <c r="A2" s="28" t="s">
        <v>179</v>
      </c>
      <c r="B2" s="29"/>
      <c r="C2" s="29"/>
      <c r="D2" s="29"/>
      <c r="E2" s="29"/>
    </row>
    <row r="3" spans="1:5" x14ac:dyDescent="0.25">
      <c r="A3" s="1" t="s">
        <v>108</v>
      </c>
      <c r="B3" s="1" t="s">
        <v>23</v>
      </c>
      <c r="C3" s="1" t="s">
        <v>180</v>
      </c>
      <c r="D3" s="1" t="s">
        <v>181</v>
      </c>
      <c r="E3" s="1" t="s">
        <v>182</v>
      </c>
    </row>
    <row r="4" spans="1:5" ht="28.5" x14ac:dyDescent="0.25">
      <c r="A4" s="2" t="s">
        <v>183</v>
      </c>
      <c r="B4" s="2" t="s">
        <v>184</v>
      </c>
      <c r="C4" s="19">
        <v>12000000</v>
      </c>
      <c r="D4" s="2" t="s">
        <v>185</v>
      </c>
      <c r="E4" s="2" t="s">
        <v>625</v>
      </c>
    </row>
    <row r="5" spans="1:5" ht="42.75" x14ac:dyDescent="0.25">
      <c r="A5" s="2" t="s">
        <v>186</v>
      </c>
      <c r="B5" s="2" t="s">
        <v>187</v>
      </c>
      <c r="C5" s="19">
        <v>46</v>
      </c>
      <c r="D5" s="2" t="s">
        <v>188</v>
      </c>
      <c r="E5" s="2" t="s">
        <v>667</v>
      </c>
    </row>
    <row r="6" spans="1:5" ht="42.75" x14ac:dyDescent="0.25">
      <c r="A6" s="2" t="s">
        <v>189</v>
      </c>
      <c r="B6" s="2" t="s">
        <v>190</v>
      </c>
      <c r="C6" s="19">
        <v>14</v>
      </c>
      <c r="D6" s="2" t="s">
        <v>188</v>
      </c>
      <c r="E6" s="2" t="s">
        <v>668</v>
      </c>
    </row>
    <row r="7" spans="1:5" x14ac:dyDescent="0.25">
      <c r="A7" s="2" t="s">
        <v>191</v>
      </c>
      <c r="B7" s="2" t="s">
        <v>192</v>
      </c>
      <c r="C7" s="19">
        <v>1</v>
      </c>
      <c r="D7" s="2" t="s">
        <v>193</v>
      </c>
      <c r="E7" s="2" t="s">
        <v>626</v>
      </c>
    </row>
    <row r="8" spans="1:5" x14ac:dyDescent="0.25">
      <c r="A8" s="2" t="s">
        <v>194</v>
      </c>
      <c r="B8" s="2" t="s">
        <v>195</v>
      </c>
      <c r="C8" s="19">
        <v>1</v>
      </c>
      <c r="D8" s="2" t="s">
        <v>193</v>
      </c>
      <c r="E8" s="2" t="s">
        <v>627</v>
      </c>
    </row>
    <row r="9" spans="1:5" x14ac:dyDescent="0.25">
      <c r="A9" s="2" t="s">
        <v>196</v>
      </c>
      <c r="B9" s="2" t="s">
        <v>197</v>
      </c>
      <c r="C9" s="19">
        <v>2</v>
      </c>
      <c r="D9" s="2" t="s">
        <v>198</v>
      </c>
      <c r="E9" s="2" t="s">
        <v>628</v>
      </c>
    </row>
    <row r="10" spans="1:5" x14ac:dyDescent="0.25">
      <c r="A10" s="2" t="s">
        <v>199</v>
      </c>
      <c r="B10" s="2" t="s">
        <v>200</v>
      </c>
      <c r="C10" s="19">
        <v>3</v>
      </c>
      <c r="D10" s="2" t="s">
        <v>198</v>
      </c>
      <c r="E10" s="2" t="s">
        <v>629</v>
      </c>
    </row>
    <row r="11" spans="1:5" ht="28.5" x14ac:dyDescent="0.25">
      <c r="A11" s="2" t="s">
        <v>201</v>
      </c>
      <c r="B11" s="2" t="s">
        <v>202</v>
      </c>
      <c r="C11" s="19">
        <v>2</v>
      </c>
      <c r="D11" s="2" t="s">
        <v>203</v>
      </c>
      <c r="E11" s="2" t="s">
        <v>630</v>
      </c>
    </row>
    <row r="12" spans="1:5" x14ac:dyDescent="0.25">
      <c r="A12" s="2" t="s">
        <v>204</v>
      </c>
      <c r="B12" s="2" t="s">
        <v>205</v>
      </c>
      <c r="C12" s="19">
        <v>0.2</v>
      </c>
      <c r="D12" s="2" t="s">
        <v>206</v>
      </c>
      <c r="E12" s="2" t="s">
        <v>631</v>
      </c>
    </row>
    <row r="13" spans="1:5" x14ac:dyDescent="0.25">
      <c r="A13" s="2" t="s">
        <v>207</v>
      </c>
      <c r="B13" s="2" t="s">
        <v>208</v>
      </c>
      <c r="C13" s="19">
        <v>12</v>
      </c>
      <c r="D13" s="2" t="s">
        <v>206</v>
      </c>
      <c r="E13" s="2" t="s">
        <v>632</v>
      </c>
    </row>
    <row r="14" spans="1:5" x14ac:dyDescent="0.25">
      <c r="A14" s="2" t="s">
        <v>209</v>
      </c>
      <c r="B14" s="2" t="s">
        <v>210</v>
      </c>
      <c r="C14" s="19">
        <v>17</v>
      </c>
      <c r="D14" s="2" t="s">
        <v>206</v>
      </c>
      <c r="E14" s="2" t="s">
        <v>633</v>
      </c>
    </row>
    <row r="15" spans="1:5" x14ac:dyDescent="0.25">
      <c r="A15" s="2" t="s">
        <v>211</v>
      </c>
      <c r="B15" s="2" t="s">
        <v>212</v>
      </c>
      <c r="C15" s="19">
        <v>850</v>
      </c>
      <c r="D15" s="2" t="s">
        <v>206</v>
      </c>
      <c r="E15" s="2" t="s">
        <v>634</v>
      </c>
    </row>
    <row r="16" spans="1:5" x14ac:dyDescent="0.25">
      <c r="A16" s="2" t="s">
        <v>213</v>
      </c>
      <c r="B16" s="2" t="s">
        <v>214</v>
      </c>
      <c r="C16" s="18">
        <v>0.3</v>
      </c>
      <c r="D16" s="2" t="s">
        <v>206</v>
      </c>
      <c r="E16" s="2" t="s">
        <v>635</v>
      </c>
    </row>
    <row r="17" spans="1:5" x14ac:dyDescent="0.25">
      <c r="A17" s="2" t="s">
        <v>215</v>
      </c>
      <c r="B17" s="2" t="s">
        <v>216</v>
      </c>
      <c r="C17" s="19">
        <v>730</v>
      </c>
      <c r="D17" s="2" t="s">
        <v>217</v>
      </c>
      <c r="E17" s="2" t="s">
        <v>671</v>
      </c>
    </row>
    <row r="18" spans="1:5" ht="28.5" x14ac:dyDescent="0.25">
      <c r="A18" s="2" t="s">
        <v>218</v>
      </c>
      <c r="B18" s="2" t="s">
        <v>219</v>
      </c>
      <c r="C18" s="19">
        <v>2</v>
      </c>
      <c r="D18" s="2" t="s">
        <v>203</v>
      </c>
      <c r="E18" s="2" t="s">
        <v>636</v>
      </c>
    </row>
    <row r="19" spans="1:5" ht="28.5" x14ac:dyDescent="0.25">
      <c r="A19" s="2" t="s">
        <v>220</v>
      </c>
      <c r="B19" s="2" t="s">
        <v>221</v>
      </c>
      <c r="C19" s="19">
        <v>0.05</v>
      </c>
      <c r="D19" s="2" t="s">
        <v>222</v>
      </c>
      <c r="E19" s="2" t="s">
        <v>637</v>
      </c>
    </row>
    <row r="20" spans="1:5" ht="28.5" x14ac:dyDescent="0.25">
      <c r="A20" s="2" t="s">
        <v>638</v>
      </c>
      <c r="B20" s="2" t="s">
        <v>639</v>
      </c>
      <c r="C20" s="19">
        <v>10</v>
      </c>
      <c r="D20" s="2" t="s">
        <v>640</v>
      </c>
      <c r="E20" s="2" t="s">
        <v>641</v>
      </c>
    </row>
    <row r="21" spans="1:5" ht="28.5" x14ac:dyDescent="0.25">
      <c r="A21" s="2" t="s">
        <v>642</v>
      </c>
      <c r="B21" s="2" t="s">
        <v>643</v>
      </c>
      <c r="C21" s="19">
        <v>9</v>
      </c>
      <c r="D21" s="2" t="s">
        <v>644</v>
      </c>
      <c r="E21" s="2" t="s">
        <v>645</v>
      </c>
    </row>
    <row r="22" spans="1:5" ht="42.75" x14ac:dyDescent="0.25">
      <c r="A22" s="2" t="s">
        <v>646</v>
      </c>
      <c r="B22" s="2" t="s">
        <v>647</v>
      </c>
      <c r="C22" s="19">
        <v>0.7</v>
      </c>
      <c r="D22" s="2" t="s">
        <v>648</v>
      </c>
      <c r="E22" s="2" t="s">
        <v>649</v>
      </c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9" spans="1:5" x14ac:dyDescent="0.25">
      <c r="A29" s="34" t="s">
        <v>223</v>
      </c>
      <c r="B29" s="27"/>
      <c r="C29" s="27"/>
      <c r="D29" s="27"/>
      <c r="E29" s="27"/>
    </row>
    <row r="30" spans="1:5" x14ac:dyDescent="0.25">
      <c r="A30" s="28" t="s">
        <v>224</v>
      </c>
      <c r="B30" s="29"/>
      <c r="C30" s="29"/>
      <c r="D30" s="29"/>
      <c r="E30" s="29"/>
    </row>
    <row r="31" spans="1:5" x14ac:dyDescent="0.25">
      <c r="A31" s="1" t="s">
        <v>108</v>
      </c>
      <c r="B31" s="1" t="s">
        <v>23</v>
      </c>
      <c r="C31" s="1" t="s">
        <v>225</v>
      </c>
      <c r="D31" s="1" t="s">
        <v>181</v>
      </c>
      <c r="E31" s="1" t="s">
        <v>226</v>
      </c>
    </row>
    <row r="32" spans="1:5" x14ac:dyDescent="0.25">
      <c r="A32" s="2" t="s">
        <v>227</v>
      </c>
      <c r="B32" s="2" t="s">
        <v>228</v>
      </c>
      <c r="C32" s="21">
        <f>IF(COUNT($C$4,$C$5,$C$7)&lt;3,"Missing Info",$C$4*$C$5*$C$7)</f>
        <v>552000000</v>
      </c>
      <c r="D32" s="2" t="s">
        <v>229</v>
      </c>
      <c r="E32" s="2" t="s">
        <v>230</v>
      </c>
    </row>
    <row r="33" spans="1:5" x14ac:dyDescent="0.25">
      <c r="A33" s="2" t="s">
        <v>231</v>
      </c>
      <c r="B33" s="2" t="s">
        <v>232</v>
      </c>
      <c r="C33" s="21">
        <f>IF(COUNT($C$4,$C$6,$C$8)&lt;3,"Missing Info",$C$4*$C$6*$C$8)</f>
        <v>168000000</v>
      </c>
      <c r="D33" s="2" t="s">
        <v>229</v>
      </c>
      <c r="E33" s="2" t="s">
        <v>233</v>
      </c>
    </row>
    <row r="34" spans="1:5" x14ac:dyDescent="0.25">
      <c r="A34" s="2" t="s">
        <v>234</v>
      </c>
      <c r="B34" s="2" t="s">
        <v>235</v>
      </c>
      <c r="C34" s="21">
        <f>IF(COUNT($C$32)&lt;1,"Missing Info",$C$32/86400)</f>
        <v>6388.8888888888887</v>
      </c>
      <c r="D34" s="2" t="s">
        <v>236</v>
      </c>
      <c r="E34" s="2" t="s">
        <v>237</v>
      </c>
    </row>
    <row r="35" spans="1:5" x14ac:dyDescent="0.25">
      <c r="A35" s="2" t="s">
        <v>238</v>
      </c>
      <c r="B35" s="2" t="s">
        <v>239</v>
      </c>
      <c r="C35" s="21">
        <f>IF(COUNT($C$33)&lt;1,"Missing Info",$C$33/86400)</f>
        <v>1944.4444444444443</v>
      </c>
      <c r="D35" s="2" t="s">
        <v>236</v>
      </c>
      <c r="E35" s="2" t="s">
        <v>240</v>
      </c>
    </row>
    <row r="36" spans="1:5" x14ac:dyDescent="0.25">
      <c r="A36" s="2" t="s">
        <v>241</v>
      </c>
      <c r="B36" s="2" t="s">
        <v>242</v>
      </c>
      <c r="C36" s="21">
        <f>IF(COUNT($C$34,$C$11)&lt;2,"Missing Info",$C$34*$C$11)</f>
        <v>12777.777777777777</v>
      </c>
      <c r="D36" s="2" t="s">
        <v>236</v>
      </c>
      <c r="E36" s="2" t="s">
        <v>243</v>
      </c>
    </row>
    <row r="37" spans="1:5" x14ac:dyDescent="0.25">
      <c r="A37" s="2" t="s">
        <v>244</v>
      </c>
      <c r="B37" s="2" t="s">
        <v>245</v>
      </c>
      <c r="C37" s="21">
        <f>IF(COUNT($C$35,$C$11)&lt;2,"Missing Info",$C$35*$C$11)</f>
        <v>3888.8888888888887</v>
      </c>
      <c r="D37" s="2" t="s">
        <v>236</v>
      </c>
      <c r="E37" s="2" t="s">
        <v>246</v>
      </c>
    </row>
    <row r="38" spans="1:5" x14ac:dyDescent="0.25">
      <c r="A38" s="2" t="s">
        <v>247</v>
      </c>
      <c r="B38" s="2" t="s">
        <v>248</v>
      </c>
      <c r="C38" s="21">
        <f>IF(COUNT($C$36,$C$9)&lt;2,"Missing Info",$C$36*$C$9)</f>
        <v>25555.555555555555</v>
      </c>
      <c r="D38" s="2" t="s">
        <v>249</v>
      </c>
      <c r="E38" s="2" t="s">
        <v>250</v>
      </c>
    </row>
    <row r="39" spans="1:5" x14ac:dyDescent="0.25">
      <c r="A39" s="2" t="s">
        <v>251</v>
      </c>
      <c r="B39" s="2" t="s">
        <v>252</v>
      </c>
      <c r="C39" s="21">
        <f>IF(COUNT($C$37,$C$10)&lt;2,"Missing Info",$C$37*$C$10)</f>
        <v>11666.666666666666</v>
      </c>
      <c r="D39" s="2" t="s">
        <v>249</v>
      </c>
      <c r="E39" s="2" t="s">
        <v>253</v>
      </c>
    </row>
    <row r="40" spans="1:5" x14ac:dyDescent="0.25">
      <c r="A40" s="2" t="s">
        <v>254</v>
      </c>
      <c r="B40" s="2" t="s">
        <v>255</v>
      </c>
      <c r="C40" s="20">
        <f>IF(COUNT($C$4,$C$6,$C$16)&lt;3,"Missing Info",$C$4*$C$6*$C$16/1048576)</f>
        <v>48.065185546875</v>
      </c>
      <c r="D40" s="2" t="s">
        <v>256</v>
      </c>
      <c r="E40" s="2" t="s">
        <v>257</v>
      </c>
    </row>
    <row r="41" spans="1:5" x14ac:dyDescent="0.25">
      <c r="A41" s="2" t="s">
        <v>258</v>
      </c>
      <c r="B41" s="2" t="s">
        <v>259</v>
      </c>
      <c r="C41" s="21">
        <f>IF(COUNT($C$40)&lt;1,"Missing Info",$C$40*365)</f>
        <v>17543.792724609375</v>
      </c>
      <c r="D41" s="2" t="s">
        <v>260</v>
      </c>
      <c r="E41" s="2" t="s">
        <v>261</v>
      </c>
    </row>
    <row r="42" spans="1:5" x14ac:dyDescent="0.25">
      <c r="A42" s="2" t="s">
        <v>262</v>
      </c>
      <c r="B42" s="2" t="s">
        <v>263</v>
      </c>
      <c r="C42" s="21">
        <f>IF(COUNT($C$40,$C$17,$C$18)&lt;3,"Missing Info",$C$40*$C$17*$C$18)</f>
        <v>70175.1708984375</v>
      </c>
      <c r="D42" s="2" t="s">
        <v>264</v>
      </c>
      <c r="E42" s="2" t="s">
        <v>265</v>
      </c>
    </row>
    <row r="43" spans="1:5" x14ac:dyDescent="0.25">
      <c r="A43" s="2" t="s">
        <v>266</v>
      </c>
      <c r="B43" s="2" t="s">
        <v>267</v>
      </c>
      <c r="C43" s="21">
        <f>IF(COUNT($C$42,$C$19)&lt;2,"Missing Info",$C$42*$C$19)</f>
        <v>3508.758544921875</v>
      </c>
      <c r="D43" s="2" t="s">
        <v>264</v>
      </c>
      <c r="E43" s="2" t="s">
        <v>268</v>
      </c>
    </row>
    <row r="44" spans="1:5" ht="28.5" x14ac:dyDescent="0.25">
      <c r="A44" s="2" t="s">
        <v>650</v>
      </c>
      <c r="B44" s="2" t="s">
        <v>651</v>
      </c>
      <c r="C44" s="21">
        <f>IF(COUNT($C$37,$C$20)&lt;2,"Missing Info",$C$37*$C$20)</f>
        <v>38888.888888888891</v>
      </c>
      <c r="D44" s="2" t="s">
        <v>652</v>
      </c>
      <c r="E44" s="2" t="s">
        <v>653</v>
      </c>
    </row>
    <row r="45" spans="1:5" ht="28.5" x14ac:dyDescent="0.25">
      <c r="A45" s="2" t="s">
        <v>654</v>
      </c>
      <c r="B45" s="2" t="s">
        <v>655</v>
      </c>
      <c r="C45" s="21">
        <f>IF(COUNT($C$4,$C$21)&lt;2,"Missing Info",$C$4*$C$21/24)</f>
        <v>4500000</v>
      </c>
      <c r="D45" s="2" t="s">
        <v>656</v>
      </c>
      <c r="E45" s="2" t="s">
        <v>657</v>
      </c>
    </row>
    <row r="46" spans="1:5" ht="28.5" x14ac:dyDescent="0.25">
      <c r="A46" s="2" t="s">
        <v>658</v>
      </c>
      <c r="B46" s="2" t="s">
        <v>659</v>
      </c>
      <c r="C46" s="21">
        <f>IF(COUNT($C$4,$C$22)&lt;2,"Missing Info",$C$4*$C$22)</f>
        <v>8400000</v>
      </c>
      <c r="D46" s="2" t="s">
        <v>656</v>
      </c>
      <c r="E46" s="2" t="s">
        <v>660</v>
      </c>
    </row>
    <row r="47" spans="1:5" x14ac:dyDescent="0.25">
      <c r="A47" s="2"/>
      <c r="B47" s="2"/>
      <c r="C47" s="5"/>
      <c r="D47" s="2"/>
      <c r="E47" s="2"/>
    </row>
    <row r="48" spans="1:5" x14ac:dyDescent="0.25">
      <c r="A48" s="2"/>
      <c r="B48" s="2"/>
      <c r="C48" s="5"/>
      <c r="D48" s="2"/>
      <c r="E48" s="2"/>
    </row>
    <row r="49" spans="1:5" x14ac:dyDescent="0.25">
      <c r="A49" s="2"/>
      <c r="B49" s="2"/>
      <c r="C49" s="5"/>
      <c r="D49" s="2"/>
      <c r="E49" s="2"/>
    </row>
  </sheetData>
  <mergeCells count="4">
    <mergeCell ref="A2:E2"/>
    <mergeCell ref="A1:E1"/>
    <mergeCell ref="A30:E30"/>
    <mergeCell ref="A29:E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8" customWidth="1"/>
    <col min="2" max="2" width="44" customWidth="1"/>
    <col min="3" max="3" width="34" customWidth="1"/>
    <col min="4" max="4" width="14" customWidth="1"/>
    <col min="5" max="5" width="46" customWidth="1"/>
  </cols>
  <sheetData>
    <row r="1" spans="1:5" ht="20.100000000000001" customHeight="1" x14ac:dyDescent="0.25">
      <c r="A1" s="34" t="s">
        <v>269</v>
      </c>
      <c r="B1" s="27"/>
      <c r="C1" s="27"/>
      <c r="D1" s="27"/>
      <c r="E1" s="27"/>
    </row>
    <row r="2" spans="1:5" ht="18" customHeight="1" x14ac:dyDescent="0.25">
      <c r="A2" s="28" t="s">
        <v>270</v>
      </c>
      <c r="B2" s="29"/>
      <c r="C2" s="29"/>
      <c r="D2" s="29"/>
      <c r="E2" s="29"/>
    </row>
    <row r="3" spans="1:5" x14ac:dyDescent="0.25">
      <c r="A3" s="1" t="s">
        <v>9</v>
      </c>
      <c r="B3" s="1" t="s">
        <v>271</v>
      </c>
      <c r="C3" s="1" t="s">
        <v>272</v>
      </c>
      <c r="D3" s="1" t="s">
        <v>273</v>
      </c>
      <c r="E3" s="1" t="s">
        <v>274</v>
      </c>
    </row>
    <row r="4" spans="1:5" ht="20.100000000000001" customHeight="1" x14ac:dyDescent="0.25">
      <c r="A4" s="4" t="inlineStr">
        <is>
          <t>DL-01</t>
        </is>
      </c>
      <c r="B4" s="4" t="inlineStr">
        <is>
          <t>Public hostnames and DNS provider</t>
        </is>
      </c>
      <c r="C4" s="4" t="inlineStr">
        <is>
          <t>Subdomains of quack.ryt.dev; DNS-only CNAMEs in Cloudflare; no Route 53</t>
        </is>
      </c>
      <c r="D4" s="4" t="inlineStr">
        <is>
          <t>2026-09-12</t>
        </is>
      </c>
      <c r="E4" s="4" t="inlineStr">
        <is>
          <t>docs/adr/adr-001-hostnames-and-dns.md</t>
        </is>
      </c>
    </row>
    <row r="5" spans="1:5" ht="20.100000000000001" customHeight="1" x14ac:dyDescent="0.25">
      <c r="A5" s="4" t="inlineStr">
        <is>
          <t>DL-02</t>
        </is>
      </c>
      <c r="B5" s="4" t="inlineStr">
        <is>
          <t>Compute</t>
        </is>
      </c>
      <c r="C5" s="4" t="inlineStr">
        <is>
          <t>ECS</t>
        </is>
      </c>
      <c r="D5" s="4" t="inlineStr">
        <is>
          <t>2026-09-12</t>
        </is>
      </c>
      <c r="E5" s="4" t="inlineStr">
        <is>
          <t>docs/adr/adr-002-compute.md</t>
        </is>
      </c>
    </row>
    <row r="6" spans="1:5" ht="20.100000000000001" customHeight="1" x14ac:dyDescent="0.25">
      <c r="A6" s="4" t="inlineStr">
        <is>
          <t>DL-03</t>
        </is>
      </c>
      <c r="B6" s="4" t="inlineStr">
        <is>
          <t>ECS capacity provider</t>
        </is>
      </c>
      <c r="C6" s="4" t="inlineStr">
        <is>
          <t>Fargate</t>
        </is>
      </c>
      <c r="D6" s="4" t="inlineStr">
        <is>
          <t>2026-09-12</t>
        </is>
      </c>
      <c r="E6" s="4" t="inlineStr">
        <is>
          <t>docs/adr/adr-003-capacity-provider.md</t>
        </is>
      </c>
    </row>
    <row r="7" spans="1:5" ht="20.100000000000001" customHeight="1" x14ac:dyDescent="0.25">
      <c r="A7" s="4" t="inlineStr">
        <is>
          <t>DL-04</t>
        </is>
      </c>
      <c r="B7" s="4" t="inlineStr">
        <is>
          <t>HTTP and WebSocket entry point</t>
        </is>
      </c>
      <c r="C7" s="4" t="inlineStr">
        <is>
          <t>One Application Load Balancer for both; no API Gateway</t>
        </is>
      </c>
      <c r="D7" s="4" t="inlineStr">
        <is>
          <t>2026-09-12</t>
        </is>
      </c>
      <c r="E7" s="4" t="inlineStr">
        <is>
          <t>docs/adr/adr-004-http-entry-point.md</t>
        </is>
      </c>
    </row>
    <row r="8" spans="1:5" ht="20.100000000000001" customHeight="1" x14ac:dyDescent="0.25">
      <c r="A8" s="4" t="inlineStr">
        <is>
          <t>DL-05</t>
        </is>
      </c>
      <c r="B8" s="4" t="inlineStr">
        <is>
          <t>Fan-out between tasks</t>
        </is>
      </c>
      <c r="C8" s="4" t="inlineStr">
        <is>
          <t>Valkey pub/sub on ElastiCache</t>
        </is>
      </c>
      <c r="D8" s="4" t="inlineStr">
        <is>
          <t>2026-09-12</t>
        </is>
      </c>
      <c r="E8" s="4" t="inlineStr">
        <is>
          <t>docs/adr/adr-005-fan-out-between-tasks.md</t>
        </is>
      </c>
    </row>
    <row r="9" spans="1:5" ht="20.100000000000001" customHeight="1" x14ac:dyDescent="0.25">
      <c r="A9" s="4" t="inlineStr">
        <is>
          <t>DL-06</t>
        </is>
      </c>
      <c r="B9" s="4" t="inlineStr">
        <is>
          <t>ID token verification</t>
        </is>
      </c>
      <c r="C9" s="4" t="inlineStr">
        <is>
          <t>In code for HTTP and WebSockets</t>
        </is>
      </c>
      <c r="D9" s="4" t="inlineStr">
        <is>
          <t>2026-09-12</t>
        </is>
      </c>
      <c r="E9" s="4" t="inlineStr">
        <is>
          <t>docs/adr/adr-006-token-verification.md</t>
        </is>
      </c>
    </row>
    <row r="10" spans="1:5" ht="20.100000000000001" customHeight="1" x14ac:dyDescent="0.25">
      <c r="A10" s="4" t="inlineStr">
        <is>
          <t>DL-07</t>
        </is>
      </c>
      <c r="B10" s="4" t="inlineStr">
        <is>
          <t>Repository and stack layout</t>
        </is>
      </c>
      <c r="C10" s="4" t="inlineStr">
        <is>
          <t>Monorepo; one CDK stack per deployable; one ECS service per HTTP domain; no CloudFormation exports</t>
        </is>
      </c>
      <c r="D10" s="4" t="inlineStr">
        <is>
          <t>2026-09-12</t>
        </is>
      </c>
      <c r="E10" s="4" t="inlineStr">
        <is>
          <t>docs/adr/adr-007-stack-layout.md</t>
        </is>
      </c>
    </row>
    <row r="11" spans="1:5" ht="20.100000000000001" customHeight="1" x14ac:dyDescent="0.25">
      <c r="A11" s="4" t="inlineStr">
        <is>
          <t>DL-08</t>
        </is>
      </c>
      <c r="B11" s="4" t="inlineStr">
        <is>
          <t>Cross-domain reads</t>
        </is>
      </c>
      <c r="C11" s="4" t="inlineStr">
        <is>
          <t>Direct read of another domain's records under a stated rule; no service-to-service calls in the MVP</t>
        </is>
      </c>
      <c r="D11" s="4" t="inlineStr">
        <is>
          <t>2026-09-12</t>
        </is>
      </c>
      <c r="E11" s="4" t="inlineStr">
        <is>
          <t>docs/adr/adr-008-cross-domain-reads.md</t>
        </is>
      </c>
    </row>
    <row r="12" spans="1:5" ht="20.100000000000001" customHeight="1" x14ac:dyDescent="0.25">
      <c r="A12" s="2"/>
      <c r="B12" s="2"/>
      <c r="C12" s="2"/>
      <c r="D12" s="2"/>
      <c r="E12" s="2"/>
    </row>
    <row r="13" spans="1:5" ht="20.100000000000001" customHeight="1" x14ac:dyDescent="0.25">
      <c r="A13" s="2"/>
      <c r="B13" s="2"/>
      <c r="C13" s="2"/>
      <c r="D13" s="2"/>
      <c r="E13" s="2"/>
    </row>
    <row r="14" spans="1:5" ht="20.100000000000001" customHeight="1" x14ac:dyDescent="0.25">
      <c r="A14" s="2"/>
      <c r="B14" s="2"/>
      <c r="C14" s="2"/>
      <c r="D14" s="2"/>
      <c r="E14" s="2"/>
    </row>
    <row r="15" spans="1:5" ht="20.100000000000001" customHeight="1" x14ac:dyDescent="0.25">
      <c r="A15" s="2"/>
      <c r="B15" s="2"/>
      <c r="C15" s="2"/>
      <c r="D15" s="2"/>
      <c r="E15" s="2"/>
    </row>
    <row r="16" spans="1:5" ht="20.100000000000001" customHeight="1" x14ac:dyDescent="0.25">
      <c r="A16" s="2"/>
      <c r="B16" s="2"/>
      <c r="C16" s="2"/>
      <c r="D16" s="2"/>
      <c r="E16" s="2"/>
    </row>
    <row r="17" spans="1:5" ht="20.100000000000001" customHeight="1" x14ac:dyDescent="0.25">
      <c r="A17" s="2"/>
      <c r="B17" s="2"/>
      <c r="C17" s="2"/>
      <c r="D17" s="2"/>
      <c r="E17" s="2"/>
    </row>
    <row r="18" spans="1:5" ht="20.100000000000001" customHeight="1" x14ac:dyDescent="0.25">
      <c r="A18" s="2"/>
      <c r="B18" s="2"/>
      <c r="C18" s="2"/>
      <c r="D18" s="2"/>
      <c r="E18" s="2"/>
    </row>
    <row r="19" spans="1:5" ht="20.100000000000001" customHeight="1" x14ac:dyDescent="0.25">
      <c r="A19" s="2"/>
      <c r="B19" s="2"/>
      <c r="C19" s="2"/>
      <c r="D19" s="2"/>
      <c r="E19" s="2"/>
    </row>
    <row r="20" spans="1:5" ht="20.100000000000001" customHeight="1" x14ac:dyDescent="0.25">
      <c r="A20" s="2"/>
      <c r="B20" s="2"/>
      <c r="C20" s="2"/>
      <c r="D20" s="2"/>
      <c r="E20" s="2"/>
    </row>
    <row r="21" spans="1:5" ht="20.100000000000001" customHeight="1" x14ac:dyDescent="0.25">
      <c r="A21" s="2"/>
      <c r="B21" s="2"/>
      <c r="C21" s="2"/>
      <c r="D21" s="2"/>
      <c r="E21" s="2"/>
    </row>
    <row r="22" spans="1:5" ht="20.100000000000001" customHeight="1" x14ac:dyDescent="0.25">
      <c r="A22" s="2"/>
      <c r="B22" s="2"/>
      <c r="C22" s="2"/>
      <c r="D22" s="2"/>
      <c r="E22" s="2"/>
    </row>
    <row r="23" spans="1:5" ht="20.100000000000001" customHeight="1" x14ac:dyDescent="0.25">
      <c r="A23" s="2"/>
      <c r="B23" s="2"/>
      <c r="C23" s="2"/>
      <c r="D23" s="2"/>
      <c r="E23" s="2"/>
    </row>
    <row r="24" spans="1:5" ht="20.100000000000001" customHeight="1" x14ac:dyDescent="0.25">
      <c r="A24" s="2"/>
      <c r="B24" s="2"/>
      <c r="C24" s="2"/>
      <c r="D24" s="2"/>
      <c r="E24" s="2"/>
    </row>
    <row r="25" spans="1:5" ht="20.100000000000001" customHeight="1" x14ac:dyDescent="0.25">
      <c r="A25" s="2"/>
      <c r="B25" s="2"/>
      <c r="C25" s="2"/>
      <c r="D25" s="2"/>
      <c r="E25" s="2"/>
    </row>
    <row r="26" spans="1:5" ht="20.100000000000001" customHeight="1" x14ac:dyDescent="0.25">
      <c r="A26" s="2"/>
      <c r="B26" s="2"/>
      <c r="C26" s="2"/>
      <c r="D26" s="2"/>
      <c r="E26" s="2"/>
    </row>
    <row r="27" spans="1:5" ht="20.100000000000001" customHeight="1" x14ac:dyDescent="0.25">
      <c r="A27" s="2"/>
      <c r="B27" s="2"/>
      <c r="C27" s="2"/>
      <c r="D27" s="2"/>
      <c r="E27" s="2"/>
    </row>
    <row r="28" spans="1:5" ht="20.100000000000001" customHeight="1" x14ac:dyDescent="0.25">
      <c r="A28" s="2"/>
      <c r="B28" s="2"/>
      <c r="C28" s="2"/>
      <c r="D28" s="2"/>
      <c r="E28" s="2"/>
    </row>
    <row r="29" spans="1:5" ht="20.100000000000001" customHeight="1" x14ac:dyDescent="0.25">
      <c r="A29" s="2"/>
      <c r="B29" s="2"/>
      <c r="C29" s="2"/>
      <c r="D29" s="2"/>
      <c r="E29" s="2"/>
    </row>
    <row r="30" spans="1:5" ht="20.100000000000001" customHeight="1" x14ac:dyDescent="0.25">
      <c r="A30" s="2"/>
      <c r="B30" s="2"/>
      <c r="C30" s="2"/>
      <c r="D30" s="2"/>
      <c r="E30" s="2"/>
    </row>
    <row r="31" spans="1:5" ht="20.100000000000001" customHeight="1" x14ac:dyDescent="0.25">
      <c r="A31" s="2"/>
      <c r="B31" s="2"/>
      <c r="C31" s="2"/>
      <c r="D31" s="2"/>
      <c r="E31" s="2"/>
    </row>
    <row r="32" spans="1:5" ht="20.100000000000001" customHeight="1" x14ac:dyDescent="0.25">
      <c r="A32" s="2"/>
      <c r="B32" s="2"/>
      <c r="C32" s="2"/>
      <c r="D32" s="2"/>
      <c r="E32" s="2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Design Brief</vt:lpstr>
      <vt:lpstr>Scoping Questions</vt:lpstr>
      <vt:lpstr>Requirements</vt:lpstr>
      <vt:lpstr>Entities &amp; Access Patterns</vt:lpstr>
      <vt:lpstr>Scale and Estimates</vt:lpstr>
      <vt:lpstr>Decision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Martin</cp:lastModifiedBy>
  <dcterms:created xsi:type="dcterms:W3CDTF">2026-09-04T12:41:09Z</dcterms:created>
  <dcterms:modified xsi:type="dcterms:W3CDTF">2026-09-12T15:04:27Z</dcterms:modified>
</cp:coreProperties>
</file>